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rnweberpl-my.sharepoint.com/personal/jakub_blazejczyk_sternweber_pl/Documents/Pulpit/prywatne/krkt/2025/"/>
    </mc:Choice>
  </mc:AlternateContent>
  <xr:revisionPtr revIDLastSave="4427" documentId="8_{949A338B-4408-456C-AEAF-DAD17626D869}" xr6:coauthVersionLast="47" xr6:coauthVersionMax="47" xr10:uidLastSave="{756A8ED2-C858-46F6-A1AB-8FACCB4B6497}"/>
  <bookViews>
    <workbookView xWindow="1575" yWindow="1215" windowWidth="30495" windowHeight="17280" tabRatio="500" xr2:uid="{00000000-000D-0000-FFFF-FFFF00000000}"/>
  </bookViews>
  <sheets>
    <sheet name="Batting" sheetId="1" r:id="rId1"/>
    <sheet name="Bowling" sheetId="2" r:id="rId2"/>
    <sheet name="Fielding" sheetId="3" r:id="rId3"/>
    <sheet name="Wicketkeeping" sheetId="4" r:id="rId4"/>
    <sheet name="Individual" sheetId="5" r:id="rId5"/>
    <sheet name="Tea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" i="4" l="1"/>
  <c r="N12" i="4"/>
  <c r="N6" i="4"/>
  <c r="L51" i="2"/>
  <c r="L50" i="2"/>
  <c r="L44" i="2"/>
  <c r="L48" i="2"/>
  <c r="L47" i="2"/>
  <c r="L46" i="2"/>
  <c r="L49" i="2"/>
  <c r="L45" i="2"/>
  <c r="C14" i="2"/>
  <c r="C13" i="2"/>
  <c r="Q7" i="2"/>
  <c r="Q6" i="2"/>
  <c r="Q4" i="2"/>
  <c r="Q8" i="2"/>
  <c r="Q9" i="2"/>
  <c r="Q3" i="2"/>
  <c r="Q2" i="2"/>
  <c r="Q5" i="2"/>
  <c r="L3" i="2"/>
  <c r="L2" i="2"/>
  <c r="N36" i="1"/>
  <c r="N35" i="1"/>
  <c r="N34" i="1"/>
  <c r="N33" i="1"/>
  <c r="N32" i="1"/>
  <c r="N31" i="1"/>
  <c r="N30" i="1"/>
  <c r="C54" i="1"/>
  <c r="C53" i="1"/>
  <c r="C52" i="1"/>
  <c r="C51" i="1"/>
  <c r="C50" i="1"/>
  <c r="C49" i="1"/>
  <c r="C48" i="1"/>
  <c r="C47" i="1"/>
  <c r="C46" i="1"/>
  <c r="C45" i="1"/>
  <c r="C44" i="1"/>
  <c r="S12" i="1"/>
  <c r="S11" i="1"/>
  <c r="S10" i="1"/>
  <c r="S9" i="1"/>
  <c r="S8" i="1"/>
  <c r="S7" i="1"/>
  <c r="S6" i="1"/>
  <c r="S5" i="1"/>
  <c r="S4" i="1"/>
  <c r="S3" i="1"/>
  <c r="S2" i="1"/>
  <c r="C26" i="1"/>
  <c r="C25" i="1"/>
  <c r="C24" i="1"/>
  <c r="C23" i="1"/>
  <c r="C22" i="1"/>
  <c r="C21" i="1"/>
  <c r="C20" i="1"/>
  <c r="C19" i="1"/>
  <c r="C18" i="1"/>
  <c r="C17" i="1"/>
  <c r="C16" i="1"/>
  <c r="N2" i="4"/>
  <c r="D8" i="6" l="1"/>
  <c r="D4" i="6"/>
  <c r="D3" i="6"/>
  <c r="D2" i="6"/>
  <c r="D9" i="6" l="1"/>
</calcChain>
</file>

<file path=xl/sharedStrings.xml><?xml version="1.0" encoding="utf-8"?>
<sst xmlns="http://schemas.openxmlformats.org/spreadsheetml/2006/main" count="444" uniqueCount="114">
  <si>
    <t>Most runs in innings</t>
  </si>
  <si>
    <t>most runs in season</t>
  </si>
  <si>
    <t>most balls faced in season</t>
  </si>
  <si>
    <t>Highest SR in season</t>
  </si>
  <si>
    <t>Nazroon Najumudeen</t>
  </si>
  <si>
    <t>highest season batting average</t>
  </si>
  <si>
    <t>(runs/outs)</t>
  </si>
  <si>
    <t>Highest SR in innings</t>
  </si>
  <si>
    <t>most runs in debut</t>
  </si>
  <si>
    <t>most 4's in season</t>
  </si>
  <si>
    <t>fewest ducks in season</t>
  </si>
  <si>
    <t>Highest number of balls faced in an innings</t>
  </si>
  <si>
    <t>Highest percentage of runs in a completed innings</t>
  </si>
  <si>
    <t>most 4's in innings</t>
  </si>
  <si>
    <t>(ducks/innings)</t>
  </si>
  <si>
    <t>highest partnership for any wicket</t>
  </si>
  <si>
    <t>highest overall partnership by a pair</t>
  </si>
  <si>
    <t>most 6's in season</t>
  </si>
  <si>
    <t>most 6's in innings</t>
  </si>
  <si>
    <t>most wickets in season</t>
  </si>
  <si>
    <t>best figures in an innings</t>
  </si>
  <si>
    <t>best bowling average in season (runs/wkts)</t>
  </si>
  <si>
    <t>best economy rate in season (runs/overs)</t>
  </si>
  <si>
    <t>best strike rate in season (balls/wkts)</t>
  </si>
  <si>
    <t>best economy rate in an innings</t>
  </si>
  <si>
    <t>best strike rate in an innings (balls/wickets)</t>
  </si>
  <si>
    <t>best figures on debut</t>
  </si>
  <si>
    <t>most balls bowled in season</t>
  </si>
  <si>
    <t>most wickets taken bowled</t>
  </si>
  <si>
    <t>most runs conceded in season</t>
  </si>
  <si>
    <t>most maiden overs in season</t>
  </si>
  <si>
    <t>most wickets taken lbw</t>
  </si>
  <si>
    <t>most wickets taken caught</t>
  </si>
  <si>
    <t>most five-wickets-in-an-innings in season</t>
  </si>
  <si>
    <t>most runs conceded in an innings</t>
  </si>
  <si>
    <t>most wickets taken stumped</t>
  </si>
  <si>
    <t>most wickets taken caught &amp; bowled</t>
  </si>
  <si>
    <t>fewest wides/no balls per over</t>
  </si>
  <si>
    <t>Most catches in season</t>
  </si>
  <si>
    <t>Most catches in an innings</t>
  </si>
  <si>
    <t>Most run outs in season</t>
  </si>
  <si>
    <t>Most run outs in an innings</t>
  </si>
  <si>
    <t>Most byes concended in an innings</t>
  </si>
  <si>
    <t>Most byes concended in season</t>
  </si>
  <si>
    <t>Byes conceded/innings</t>
  </si>
  <si>
    <t>Most stumpings in an innings</t>
  </si>
  <si>
    <t>Most stumpings in season</t>
  </si>
  <si>
    <t>Stumpings/innings</t>
  </si>
  <si>
    <t>most catches in an innings</t>
  </si>
  <si>
    <t>most catches in season</t>
  </si>
  <si>
    <t>Catches/innings</t>
  </si>
  <si>
    <t>Innings played in season</t>
  </si>
  <si>
    <t>Most dismissals in an innings</t>
  </si>
  <si>
    <t>most dismissals in season</t>
  </si>
  <si>
    <t>Dismissals/innings</t>
  </si>
  <si>
    <t>Most matches for WHCC</t>
  </si>
  <si>
    <t>Most matches as captain</t>
  </si>
  <si>
    <t>matches</t>
  </si>
  <si>
    <t>(10 wickets)</t>
  </si>
  <si>
    <t>won</t>
  </si>
  <si>
    <t>tied</t>
  </si>
  <si>
    <t>lost</t>
  </si>
  <si>
    <t>Type of match</t>
  </si>
  <si>
    <t>number of matches</t>
  </si>
  <si>
    <t>sum of overs</t>
  </si>
  <si>
    <t>najwyższe zwycięstwo (by runs)</t>
  </si>
  <si>
    <t>najwyższe zwycięstwo (by wickets)</t>
  </si>
  <si>
    <t>overs</t>
  </si>
  <si>
    <t>-</t>
  </si>
  <si>
    <t>najwyższa porażka (by runs)</t>
  </si>
  <si>
    <t>najwyższa porażka (by wickets)</t>
  </si>
  <si>
    <t>total</t>
  </si>
  <si>
    <t>najniższe zwycięstwo (by runs)</t>
  </si>
  <si>
    <t>najniższe zwycięstwo (by wickets)</t>
  </si>
  <si>
    <t>najniższa porażka (by runs)</t>
  </si>
  <si>
    <t>najniższa porażka (by wickets)</t>
  </si>
  <si>
    <t>Sameer Gaur</t>
  </si>
  <si>
    <t>(0 outs)</t>
  </si>
  <si>
    <t>Shankar Kartha</t>
  </si>
  <si>
    <t>Utkarsh Bhatt</t>
  </si>
  <si>
    <t>Hashim Rahman</t>
  </si>
  <si>
    <t>Matthew Keating</t>
  </si>
  <si>
    <t>Wilfred Rajwadi</t>
  </si>
  <si>
    <t>Figo</t>
  </si>
  <si>
    <t>Ashwini Rajput</t>
  </si>
  <si>
    <t>Siddhesh Mervekar</t>
  </si>
  <si>
    <t>Michał Ostyk-Narbutt</t>
  </si>
  <si>
    <t>vs WECC 06.04 (20ov)</t>
  </si>
  <si>
    <t>2*</t>
  </si>
  <si>
    <t>Matthew Keating, Michał Ostyk-Narbutt</t>
  </si>
  <si>
    <t>Michał Ostyk-Narbutt, Utkarsh Bhatt</t>
  </si>
  <si>
    <t>Utkarsh Bhatt, Ashwini Rajput</t>
  </si>
  <si>
    <t>Utkarsh Bhatt, Shankar Kartha</t>
  </si>
  <si>
    <t>Utkarsh Bhatt, Sameer Gaur</t>
  </si>
  <si>
    <t>Utkarsh Bhatt, Siddhesh Mervekar</t>
  </si>
  <si>
    <t>Siddhesh Mervekar, Nazroon Najumudeen</t>
  </si>
  <si>
    <t>Figo, Nazroon Najumudeen</t>
  </si>
  <si>
    <t>Sameer Gaur, Nazroon Najumudeen</t>
  </si>
  <si>
    <t>Nazroon Najumudeen, Hashim Rahman</t>
  </si>
  <si>
    <t>Nazroon Najumudeen, Wilfred Rajwadi</t>
  </si>
  <si>
    <t>4-30</t>
  </si>
  <si>
    <t>4-34</t>
  </si>
  <si>
    <t>0-9</t>
  </si>
  <si>
    <t>0-15</t>
  </si>
  <si>
    <t>0-24</t>
  </si>
  <si>
    <t>0-28</t>
  </si>
  <si>
    <t>0-33</t>
  </si>
  <si>
    <t>0-35</t>
  </si>
  <si>
    <t>4 (2c+2s)</t>
  </si>
  <si>
    <t>Wilfret Rajwadi</t>
  </si>
  <si>
    <t>vs WECC 06.04 (20ov) – WECC won by 167 runs</t>
  </si>
  <si>
    <t>WECC – 208/8</t>
  </si>
  <si>
    <t>WHCC – 41 (11.0 ov)</t>
  </si>
  <si>
    <t>vs WECC 06.04 (20ov) – by 167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</si>
</sst>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\-mm"/>
    <numFmt numFmtId="165" formatCode="0.000"/>
  </numFmts>
  <fonts count="5">
    <font>
      <sz val="12"/>
      <color rgb="FF000000"/>
      <name val="Calibri"/>
      <charset val="1"/>
    </font>
    <font>
      <sz val="12"/>
      <color rgb="FF000000"/>
      <name val="ＭＳ ゴシック"/>
      <charset val="1"/>
    </font>
    <font>
      <sz val="12"/>
      <color rgb="FF000000"/>
      <name val="Calibri"/>
      <family val="2"/>
      <charset val="238"/>
    </font>
    <font>
      <sz val="12"/>
      <name val="Calibri"/>
      <family val="2"/>
      <charset val="238"/>
    </font>
    <font>
      <sz val="12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EABBB5"/>
      </patternFill>
    </fill>
    <fill>
      <patternFill patternType="solid">
        <fgColor rgb="FFFFFFFF"/>
        <bgColor rgb="FFEBF1DE"/>
      </patternFill>
    </fill>
    <fill>
      <patternFill patternType="solid">
        <fgColor rgb="FFDD0806"/>
        <bgColor rgb="FF993300"/>
      </patternFill>
    </fill>
    <fill>
      <patternFill patternType="solid">
        <fgColor rgb="FFA2BD90"/>
        <bgColor rgb="FF99CCFF"/>
      </patternFill>
    </fill>
    <fill>
      <patternFill patternType="solid">
        <fgColor rgb="FFFCF305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3" borderId="0" xfId="0" applyFill="1" applyAlignment="1">
      <alignment vertical="center"/>
    </xf>
    <xf numFmtId="165" fontId="0" fillId="0" borderId="0" xfId="0" applyNumberFormat="1"/>
    <xf numFmtId="9" fontId="0" fillId="0" borderId="0" xfId="0" applyNumberFormat="1"/>
    <xf numFmtId="0" fontId="0" fillId="4" borderId="0" xfId="0" applyFill="1"/>
    <xf numFmtId="0" fontId="0" fillId="5" borderId="0" xfId="0" applyFill="1"/>
    <xf numFmtId="10" fontId="0" fillId="0" borderId="0" xfId="0" applyNumberFormat="1"/>
    <xf numFmtId="0" fontId="4" fillId="0" borderId="0" xfId="0" applyFont="1"/>
    <xf numFmtId="0" fontId="0" fillId="6" borderId="0" xfId="0" applyFill="1"/>
    <xf numFmtId="0" fontId="2" fillId="0" borderId="0" xfId="0" applyFont="1"/>
    <xf numFmtId="17" fontId="2" fillId="0" borderId="0" xfId="0" quotePrefix="1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/>
    <xf numFmtId="2" fontId="0" fillId="0" borderId="0" xfId="0" applyNumberFormat="1" applyAlignment="1">
      <alignment horizontal="right" vertical="center"/>
    </xf>
    <xf numFmtId="2" fontId="0" fillId="0" borderId="0" xfId="0" applyNumberFormat="1" applyFill="1"/>
    <xf numFmtId="0" fontId="0" fillId="4" borderId="0" xfId="0" applyFill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ABBB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2BD9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tabSelected="1" zoomScaleNormal="100" workbookViewId="0"/>
  </sheetViews>
  <sheetFormatPr defaultColWidth="12.625" defaultRowHeight="15.75"/>
  <cols>
    <col min="1" max="1" width="4.25" customWidth="1"/>
    <col min="2" max="2" width="19.75" customWidth="1"/>
    <col min="3" max="3" width="7.5" customWidth="1"/>
    <col min="4" max="4" width="20.625" customWidth="1"/>
    <col min="5" max="5" width="4" customWidth="1"/>
    <col min="6" max="6" width="1.75" customWidth="1"/>
    <col min="7" max="7" width="4.25" customWidth="1"/>
    <col min="8" max="8" width="37.375" bestFit="1" customWidth="1"/>
    <col min="9" max="9" width="8.25" customWidth="1"/>
    <col min="10" max="10" width="20.25" customWidth="1"/>
    <col min="11" max="11" width="3.75" customWidth="1"/>
    <col min="12" max="12" width="4" customWidth="1"/>
    <col min="13" max="13" width="35.5" customWidth="1"/>
    <col min="14" max="14" width="7.25" customWidth="1"/>
    <col min="15" max="15" width="20.75" customWidth="1"/>
    <col min="16" max="16" width="4.75" customWidth="1"/>
    <col min="17" max="17" width="4.5" customWidth="1"/>
    <col min="18" max="18" width="18.75" customWidth="1"/>
    <col min="19" max="19" width="10.75" customWidth="1"/>
    <col min="20" max="20" width="20.375" customWidth="1"/>
    <col min="21" max="21" width="10.75" customWidth="1"/>
  </cols>
  <sheetData>
    <row r="1" spans="1:21" ht="15" customHeight="1">
      <c r="A1" s="1"/>
      <c r="B1" s="33" t="s">
        <v>0</v>
      </c>
      <c r="C1" s="33"/>
      <c r="D1" s="33"/>
      <c r="E1" s="1"/>
      <c r="F1" s="1"/>
      <c r="G1" s="33" t="s">
        <v>1</v>
      </c>
      <c r="H1" s="33"/>
      <c r="I1" s="33"/>
      <c r="J1" s="1"/>
      <c r="K1" s="1"/>
      <c r="L1" s="33" t="s">
        <v>2</v>
      </c>
      <c r="M1" s="33"/>
      <c r="N1" s="33"/>
      <c r="O1" s="1"/>
      <c r="P1" s="1"/>
      <c r="Q1" s="33" t="s">
        <v>3</v>
      </c>
      <c r="R1" s="33"/>
      <c r="S1" s="33"/>
      <c r="T1" s="3"/>
      <c r="U1" s="1"/>
    </row>
    <row r="2" spans="1:21" ht="18" customHeight="1">
      <c r="A2" s="1">
        <v>1</v>
      </c>
      <c r="B2" t="s">
        <v>4</v>
      </c>
      <c r="C2" s="4">
        <v>14</v>
      </c>
      <c r="D2" t="s">
        <v>87</v>
      </c>
      <c r="F2" s="1"/>
      <c r="G2" s="1">
        <v>1</v>
      </c>
      <c r="H2" t="s">
        <v>4</v>
      </c>
      <c r="I2" s="4">
        <v>14</v>
      </c>
      <c r="K2" s="1"/>
      <c r="L2" s="1">
        <v>1</v>
      </c>
      <c r="M2" t="s">
        <v>4</v>
      </c>
      <c r="N2" s="1">
        <v>22</v>
      </c>
      <c r="P2" s="1"/>
      <c r="Q2" s="1">
        <v>1</v>
      </c>
      <c r="R2" t="s">
        <v>82</v>
      </c>
      <c r="S2" s="5">
        <f>I6/N11*100</f>
        <v>100</v>
      </c>
      <c r="U2" s="1"/>
    </row>
    <row r="3" spans="1:21" ht="18" customHeight="1">
      <c r="A3" s="1">
        <v>2</v>
      </c>
      <c r="B3" t="s">
        <v>76</v>
      </c>
      <c r="C3">
        <v>6</v>
      </c>
      <c r="D3" t="s">
        <v>87</v>
      </c>
      <c r="F3" s="1"/>
      <c r="G3" s="1">
        <v>2</v>
      </c>
      <c r="H3" t="s">
        <v>76</v>
      </c>
      <c r="I3">
        <v>6</v>
      </c>
      <c r="K3" s="1"/>
      <c r="L3" s="1">
        <v>2</v>
      </c>
      <c r="M3" t="s">
        <v>80</v>
      </c>
      <c r="N3" s="1">
        <v>10</v>
      </c>
      <c r="P3" s="1"/>
      <c r="Q3" s="1">
        <v>2</v>
      </c>
      <c r="R3" t="s">
        <v>79</v>
      </c>
      <c r="S3" s="5">
        <f>I4/N5*100</f>
        <v>83.333333333333343</v>
      </c>
      <c r="U3" s="1"/>
    </row>
    <row r="4" spans="1:21" ht="18" customHeight="1">
      <c r="A4" s="1">
        <v>3</v>
      </c>
      <c r="B4" t="s">
        <v>79</v>
      </c>
      <c r="C4" s="4">
        <v>5</v>
      </c>
      <c r="D4" t="s">
        <v>87</v>
      </c>
      <c r="F4" s="1"/>
      <c r="G4" s="1">
        <v>3</v>
      </c>
      <c r="H4" t="s">
        <v>79</v>
      </c>
      <c r="I4" s="4">
        <v>5</v>
      </c>
      <c r="K4" s="1"/>
      <c r="L4" s="1">
        <v>3</v>
      </c>
      <c r="M4" s="23" t="s">
        <v>76</v>
      </c>
      <c r="N4" s="4">
        <v>9</v>
      </c>
      <c r="P4" s="1"/>
      <c r="Q4" s="1">
        <v>3</v>
      </c>
      <c r="R4" t="s">
        <v>76</v>
      </c>
      <c r="S4" s="5">
        <f>I3/N4*100</f>
        <v>66.666666666666657</v>
      </c>
      <c r="T4" s="8"/>
      <c r="U4" s="1"/>
    </row>
    <row r="5" spans="1:21" ht="18" customHeight="1">
      <c r="A5" s="1">
        <v>4</v>
      </c>
      <c r="B5" t="s">
        <v>80</v>
      </c>
      <c r="C5" s="26">
        <v>4</v>
      </c>
      <c r="D5" t="s">
        <v>87</v>
      </c>
      <c r="F5" s="1"/>
      <c r="G5" s="1">
        <v>4</v>
      </c>
      <c r="H5" t="s">
        <v>80</v>
      </c>
      <c r="I5" s="26">
        <v>4</v>
      </c>
      <c r="K5" s="1"/>
      <c r="L5" s="1">
        <v>4</v>
      </c>
      <c r="M5" t="s">
        <v>79</v>
      </c>
      <c r="N5" s="1">
        <v>6</v>
      </c>
      <c r="P5" s="1"/>
      <c r="Q5" s="1">
        <v>4</v>
      </c>
      <c r="R5" t="s">
        <v>4</v>
      </c>
      <c r="S5" s="5">
        <f>I2/N2*100</f>
        <v>63.636363636363633</v>
      </c>
      <c r="T5" s="8"/>
      <c r="U5" s="1"/>
    </row>
    <row r="6" spans="1:21" ht="18" customHeight="1">
      <c r="A6" s="1">
        <v>5</v>
      </c>
      <c r="B6" t="s">
        <v>82</v>
      </c>
      <c r="C6" s="4" t="s">
        <v>88</v>
      </c>
      <c r="D6" t="s">
        <v>87</v>
      </c>
      <c r="F6" s="1"/>
      <c r="G6" s="1">
        <v>5</v>
      </c>
      <c r="H6" t="s">
        <v>82</v>
      </c>
      <c r="I6" s="4">
        <v>2</v>
      </c>
      <c r="L6" s="1">
        <v>5</v>
      </c>
      <c r="M6" t="s">
        <v>84</v>
      </c>
      <c r="N6" s="4">
        <v>5</v>
      </c>
      <c r="O6" s="8"/>
      <c r="P6" s="1"/>
      <c r="Q6" s="1">
        <v>5</v>
      </c>
      <c r="R6" t="s">
        <v>80</v>
      </c>
      <c r="S6" s="5">
        <f>I5/N3*100</f>
        <v>40</v>
      </c>
      <c r="T6" s="8"/>
      <c r="U6" s="1"/>
    </row>
    <row r="7" spans="1:21" ht="18" customHeight="1">
      <c r="A7" s="1">
        <v>6</v>
      </c>
      <c r="B7" t="s">
        <v>83</v>
      </c>
      <c r="C7" s="4">
        <v>1</v>
      </c>
      <c r="D7" t="s">
        <v>87</v>
      </c>
      <c r="F7" s="1"/>
      <c r="G7" s="1">
        <v>6</v>
      </c>
      <c r="H7" t="s">
        <v>83</v>
      </c>
      <c r="I7" s="4">
        <v>1</v>
      </c>
      <c r="L7" s="1">
        <v>6</v>
      </c>
      <c r="M7" t="s">
        <v>85</v>
      </c>
      <c r="N7" s="1">
        <v>4</v>
      </c>
      <c r="O7" s="8"/>
      <c r="P7" s="1"/>
      <c r="Q7" s="1">
        <v>6</v>
      </c>
      <c r="R7" t="s">
        <v>83</v>
      </c>
      <c r="S7" s="5">
        <f>I7/N8*100</f>
        <v>33.333333333333329</v>
      </c>
      <c r="U7" s="1"/>
    </row>
    <row r="8" spans="1:21" ht="18" customHeight="1">
      <c r="A8" s="1"/>
      <c r="B8" t="s">
        <v>84</v>
      </c>
      <c r="C8" s="4">
        <v>1</v>
      </c>
      <c r="D8" t="s">
        <v>87</v>
      </c>
      <c r="F8" s="1"/>
      <c r="G8" s="1"/>
      <c r="H8" t="s">
        <v>84</v>
      </c>
      <c r="I8" s="4">
        <v>1</v>
      </c>
      <c r="K8" s="1"/>
      <c r="L8" s="1">
        <v>7</v>
      </c>
      <c r="M8" t="s">
        <v>83</v>
      </c>
      <c r="N8" s="1">
        <v>3</v>
      </c>
      <c r="O8" s="8"/>
      <c r="P8" s="1"/>
      <c r="Q8" s="1">
        <v>7</v>
      </c>
      <c r="R8" t="s">
        <v>84</v>
      </c>
      <c r="S8" s="6">
        <f>I8/N6*100</f>
        <v>20</v>
      </c>
      <c r="T8" s="8"/>
      <c r="U8" s="1"/>
    </row>
    <row r="9" spans="1:21" ht="18" customHeight="1">
      <c r="A9" s="1">
        <v>8</v>
      </c>
      <c r="B9" t="s">
        <v>78</v>
      </c>
      <c r="C9" s="4">
        <v>0</v>
      </c>
      <c r="D9" t="s">
        <v>87</v>
      </c>
      <c r="F9" s="1"/>
      <c r="G9" s="1">
        <v>8</v>
      </c>
      <c r="H9" t="s">
        <v>78</v>
      </c>
      <c r="I9" s="4">
        <v>0</v>
      </c>
      <c r="K9" s="1"/>
      <c r="L9" s="1">
        <v>8</v>
      </c>
      <c r="M9" t="s">
        <v>78</v>
      </c>
      <c r="N9" s="1">
        <v>2</v>
      </c>
      <c r="P9" s="1"/>
      <c r="Q9" s="1">
        <v>8</v>
      </c>
      <c r="R9" t="s">
        <v>78</v>
      </c>
      <c r="S9" s="1">
        <f>I9/N9*100</f>
        <v>0</v>
      </c>
      <c r="T9" s="8"/>
      <c r="U9" s="1"/>
    </row>
    <row r="10" spans="1:21" ht="18" customHeight="1">
      <c r="A10" s="1"/>
      <c r="B10" t="s">
        <v>81</v>
      </c>
      <c r="C10">
        <v>0</v>
      </c>
      <c r="D10" t="s">
        <v>87</v>
      </c>
      <c r="F10" s="1"/>
      <c r="G10" s="1"/>
      <c r="H10" t="s">
        <v>81</v>
      </c>
      <c r="I10">
        <v>0</v>
      </c>
      <c r="K10" s="1"/>
      <c r="L10" s="1"/>
      <c r="M10" t="s">
        <v>81</v>
      </c>
      <c r="N10" s="1">
        <v>2</v>
      </c>
      <c r="P10" s="1"/>
      <c r="Q10" s="1"/>
      <c r="R10" t="s">
        <v>81</v>
      </c>
      <c r="S10" s="1">
        <f>I10/N10*100</f>
        <v>0</v>
      </c>
      <c r="T10" s="8"/>
      <c r="U10" s="1"/>
    </row>
    <row r="11" spans="1:21" ht="18" customHeight="1">
      <c r="A11" s="1"/>
      <c r="B11" t="s">
        <v>85</v>
      </c>
      <c r="C11">
        <v>0</v>
      </c>
      <c r="D11" t="s">
        <v>87</v>
      </c>
      <c r="F11" s="1"/>
      <c r="G11" s="1"/>
      <c r="H11" t="s">
        <v>85</v>
      </c>
      <c r="I11">
        <v>0</v>
      </c>
      <c r="K11" s="1"/>
      <c r="L11" s="1"/>
      <c r="M11" t="s">
        <v>82</v>
      </c>
      <c r="N11" s="1">
        <v>2</v>
      </c>
      <c r="P11" s="1"/>
      <c r="Q11" s="1"/>
      <c r="R11" t="s">
        <v>85</v>
      </c>
      <c r="S11">
        <f>I11/N7*100</f>
        <v>0</v>
      </c>
      <c r="T11" s="8"/>
      <c r="U11" s="1"/>
    </row>
    <row r="12" spans="1:21" ht="18" customHeight="1">
      <c r="A12" s="1"/>
      <c r="B12" t="s">
        <v>86</v>
      </c>
      <c r="C12" s="4">
        <v>0</v>
      </c>
      <c r="D12" t="s">
        <v>87</v>
      </c>
      <c r="F12" s="1"/>
      <c r="G12" s="1"/>
      <c r="H12" t="s">
        <v>86</v>
      </c>
      <c r="I12" s="4">
        <v>0</v>
      </c>
      <c r="K12" s="1"/>
      <c r="L12" s="1">
        <v>11</v>
      </c>
      <c r="M12" t="s">
        <v>86</v>
      </c>
      <c r="N12" s="1">
        <v>1</v>
      </c>
      <c r="P12" s="1"/>
      <c r="Q12" s="1"/>
      <c r="R12" t="s">
        <v>86</v>
      </c>
      <c r="S12">
        <f>I12/N12*100</f>
        <v>0</v>
      </c>
      <c r="T12" s="8"/>
      <c r="U12" s="1"/>
    </row>
    <row r="13" spans="1:21" ht="18" customHeight="1">
      <c r="A13" s="1"/>
      <c r="F13" s="1"/>
      <c r="G13" s="1"/>
      <c r="I13" s="4"/>
      <c r="K13" s="1"/>
      <c r="L13" s="1"/>
      <c r="N13" s="1"/>
      <c r="P13" s="1"/>
      <c r="Q13" s="1"/>
      <c r="S13" s="27"/>
      <c r="T13" s="8"/>
      <c r="U13" s="1"/>
    </row>
    <row r="14" spans="1:21" ht="18" customHeight="1">
      <c r="A14" s="1"/>
      <c r="F14" s="1"/>
      <c r="G14" s="1"/>
      <c r="K14" s="1"/>
      <c r="L14" s="1"/>
      <c r="N14" s="1"/>
      <c r="P14" s="1"/>
      <c r="Q14" s="1"/>
      <c r="T14" s="8"/>
      <c r="U14" s="1"/>
    </row>
    <row r="15" spans="1:21" ht="15" customHeight="1">
      <c r="A15" s="2" t="s">
        <v>5</v>
      </c>
      <c r="B15" s="2"/>
      <c r="C15" s="2"/>
      <c r="D15" s="2" t="s">
        <v>6</v>
      </c>
      <c r="E15" s="1"/>
      <c r="F15" s="1"/>
      <c r="G15" s="2" t="s">
        <v>7</v>
      </c>
      <c r="H15" s="2"/>
      <c r="I15" s="2"/>
      <c r="J15" s="2"/>
      <c r="K15" s="1"/>
      <c r="L15" s="2" t="s">
        <v>8</v>
      </c>
      <c r="M15" s="2"/>
      <c r="N15" s="2"/>
      <c r="O15" s="2"/>
      <c r="P15" s="1"/>
      <c r="Q15" s="7" t="s">
        <v>9</v>
      </c>
      <c r="R15" s="7"/>
      <c r="S15" s="7"/>
      <c r="U15" s="1"/>
    </row>
    <row r="16" spans="1:21" ht="16.5" customHeight="1">
      <c r="A16" s="1">
        <v>1</v>
      </c>
      <c r="B16" t="s">
        <v>4</v>
      </c>
      <c r="C16" s="6">
        <f>C2/1</f>
        <v>14</v>
      </c>
      <c r="E16" s="8"/>
      <c r="F16" s="1"/>
      <c r="G16" s="1">
        <v>1</v>
      </c>
      <c r="H16" t="s">
        <v>82</v>
      </c>
      <c r="I16" s="5">
        <v>100</v>
      </c>
      <c r="J16" t="s">
        <v>87</v>
      </c>
      <c r="K16" s="1"/>
      <c r="L16" s="1">
        <v>1</v>
      </c>
      <c r="M16" t="s">
        <v>85</v>
      </c>
      <c r="N16">
        <v>0</v>
      </c>
      <c r="O16" t="s">
        <v>87</v>
      </c>
      <c r="P16" s="1"/>
      <c r="Q16">
        <v>1</v>
      </c>
      <c r="R16" t="s">
        <v>79</v>
      </c>
      <c r="S16" s="1">
        <v>1</v>
      </c>
      <c r="T16" s="8"/>
      <c r="U16" s="1"/>
    </row>
    <row r="17" spans="1:21" ht="16.5" customHeight="1">
      <c r="A17" s="1">
        <v>2</v>
      </c>
      <c r="B17" t="s">
        <v>76</v>
      </c>
      <c r="C17" s="6">
        <f>I3/1</f>
        <v>6</v>
      </c>
      <c r="E17" s="8"/>
      <c r="F17" s="1"/>
      <c r="G17" s="1">
        <v>2</v>
      </c>
      <c r="H17" t="s">
        <v>79</v>
      </c>
      <c r="I17" s="5">
        <v>83.33</v>
      </c>
      <c r="J17" t="s">
        <v>87</v>
      </c>
      <c r="K17" s="1"/>
      <c r="L17" s="1"/>
      <c r="R17" t="s">
        <v>76</v>
      </c>
      <c r="S17">
        <v>1</v>
      </c>
      <c r="U17" s="1"/>
    </row>
    <row r="18" spans="1:21" ht="16.5" customHeight="1">
      <c r="A18" s="1">
        <v>3</v>
      </c>
      <c r="B18" t="s">
        <v>79</v>
      </c>
      <c r="C18" s="6">
        <f>I4/1</f>
        <v>5</v>
      </c>
      <c r="E18" s="8"/>
      <c r="F18" s="1"/>
      <c r="G18" s="1">
        <v>3</v>
      </c>
      <c r="H18" t="s">
        <v>76</v>
      </c>
      <c r="I18" s="5">
        <v>66.67</v>
      </c>
      <c r="J18" t="s">
        <v>87</v>
      </c>
      <c r="K18" s="1"/>
      <c r="L18" s="1"/>
      <c r="O18" s="23"/>
      <c r="R18" t="s">
        <v>4</v>
      </c>
      <c r="S18">
        <v>1</v>
      </c>
      <c r="U18" s="1"/>
    </row>
    <row r="19" spans="1:21" ht="18" customHeight="1">
      <c r="A19" s="1">
        <v>4</v>
      </c>
      <c r="B19" t="s">
        <v>80</v>
      </c>
      <c r="C19" s="6">
        <f>I5/1</f>
        <v>4</v>
      </c>
      <c r="E19" s="8"/>
      <c r="F19" s="1"/>
      <c r="G19" s="1">
        <v>4</v>
      </c>
      <c r="H19" t="s">
        <v>4</v>
      </c>
      <c r="I19" s="5">
        <v>63.64</v>
      </c>
      <c r="J19" t="s">
        <v>87</v>
      </c>
      <c r="K19" s="1"/>
      <c r="L19" s="1"/>
      <c r="N19" s="4"/>
      <c r="O19" s="23"/>
      <c r="S19" s="1"/>
      <c r="U19" s="1"/>
    </row>
    <row r="20" spans="1:21" ht="18" customHeight="1">
      <c r="A20" s="1">
        <v>5</v>
      </c>
      <c r="B20" t="s">
        <v>82</v>
      </c>
      <c r="C20" s="28">
        <f>I6</f>
        <v>2</v>
      </c>
      <c r="D20" t="s">
        <v>77</v>
      </c>
      <c r="E20" s="8"/>
      <c r="F20" s="1"/>
      <c r="G20" s="1">
        <v>5</v>
      </c>
      <c r="H20" t="s">
        <v>80</v>
      </c>
      <c r="I20" s="5">
        <v>40</v>
      </c>
      <c r="J20" t="s">
        <v>87</v>
      </c>
      <c r="K20" s="1"/>
      <c r="L20" s="1"/>
      <c r="O20" s="23"/>
      <c r="P20" s="3"/>
      <c r="S20" s="1"/>
      <c r="U20" s="1"/>
    </row>
    <row r="21" spans="1:21" ht="16.5" customHeight="1">
      <c r="A21" s="1">
        <v>6</v>
      </c>
      <c r="B21" t="s">
        <v>83</v>
      </c>
      <c r="C21" s="6">
        <f>I7/1</f>
        <v>1</v>
      </c>
      <c r="E21" s="8"/>
      <c r="F21" s="1"/>
      <c r="G21" s="1">
        <v>6</v>
      </c>
      <c r="H21" t="s">
        <v>83</v>
      </c>
      <c r="I21" s="5">
        <v>33.33</v>
      </c>
      <c r="J21" t="s">
        <v>87</v>
      </c>
      <c r="K21" s="1"/>
      <c r="L21" s="1"/>
      <c r="N21" s="4"/>
      <c r="S21" s="1"/>
      <c r="U21" s="1"/>
    </row>
    <row r="22" spans="1:21" ht="18" customHeight="1">
      <c r="A22" s="1"/>
      <c r="B22" t="s">
        <v>84</v>
      </c>
      <c r="C22" s="6">
        <f>I8/1</f>
        <v>1</v>
      </c>
      <c r="E22" s="8"/>
      <c r="F22" s="1"/>
      <c r="G22" s="1">
        <v>7</v>
      </c>
      <c r="H22" t="s">
        <v>84</v>
      </c>
      <c r="I22" s="6">
        <v>20</v>
      </c>
      <c r="J22" t="s">
        <v>87</v>
      </c>
      <c r="K22" s="1"/>
      <c r="L22" s="1"/>
      <c r="P22" s="3"/>
      <c r="S22" s="1"/>
      <c r="U22" s="1"/>
    </row>
    <row r="23" spans="1:21" ht="16.5" customHeight="1">
      <c r="A23" s="1">
        <v>8</v>
      </c>
      <c r="B23" t="s">
        <v>78</v>
      </c>
      <c r="C23" s="6">
        <f>I9</f>
        <v>0</v>
      </c>
      <c r="E23" s="8"/>
      <c r="F23" s="1"/>
      <c r="G23" s="1">
        <v>8</v>
      </c>
      <c r="H23" t="s">
        <v>78</v>
      </c>
      <c r="I23" s="1">
        <v>0</v>
      </c>
      <c r="J23" t="s">
        <v>87</v>
      </c>
      <c r="K23" s="1"/>
      <c r="L23" s="1"/>
      <c r="M23" s="23"/>
      <c r="N23" s="4"/>
      <c r="O23" s="23"/>
      <c r="P23" s="1"/>
      <c r="S23" s="1"/>
      <c r="U23" s="1"/>
    </row>
    <row r="24" spans="1:21" ht="16.5" customHeight="1">
      <c r="A24" s="1"/>
      <c r="B24" t="s">
        <v>81</v>
      </c>
      <c r="C24" s="6">
        <f>I10/1</f>
        <v>0</v>
      </c>
      <c r="E24" s="8"/>
      <c r="F24" s="1"/>
      <c r="G24" s="1"/>
      <c r="H24" t="s">
        <v>81</v>
      </c>
      <c r="I24" s="1">
        <v>0</v>
      </c>
      <c r="J24" t="s">
        <v>87</v>
      </c>
      <c r="K24" s="1"/>
      <c r="L24" s="1"/>
      <c r="M24" s="23"/>
      <c r="N24" s="4"/>
      <c r="O24" s="23"/>
      <c r="P24" s="1"/>
      <c r="S24" s="1"/>
      <c r="U24" s="1"/>
    </row>
    <row r="25" spans="1:21" ht="16.5" customHeight="1">
      <c r="A25" s="1"/>
      <c r="B25" t="s">
        <v>85</v>
      </c>
      <c r="C25" s="6">
        <f>I11/1</f>
        <v>0</v>
      </c>
      <c r="E25" s="8"/>
      <c r="F25" s="1"/>
      <c r="G25" s="1"/>
      <c r="H25" t="s">
        <v>85</v>
      </c>
      <c r="I25">
        <v>0</v>
      </c>
      <c r="J25" t="s">
        <v>87</v>
      </c>
      <c r="K25" s="1"/>
      <c r="L25" s="1"/>
      <c r="M25" s="23"/>
      <c r="N25" s="4"/>
      <c r="O25" s="23"/>
      <c r="P25" s="1"/>
      <c r="S25" s="1"/>
      <c r="U25" s="1"/>
    </row>
    <row r="26" spans="1:21" ht="16.5" customHeight="1">
      <c r="A26" s="1"/>
      <c r="B26" t="s">
        <v>86</v>
      </c>
      <c r="C26" s="6">
        <f>I12/1</f>
        <v>0</v>
      </c>
      <c r="E26" s="8"/>
      <c r="F26" s="1"/>
      <c r="G26" s="1"/>
      <c r="H26" t="s">
        <v>86</v>
      </c>
      <c r="I26">
        <v>0</v>
      </c>
      <c r="J26" t="s">
        <v>87</v>
      </c>
      <c r="L26" s="1"/>
      <c r="N26" s="4"/>
      <c r="R26" s="1"/>
      <c r="S26" s="9"/>
      <c r="U26" s="1"/>
    </row>
    <row r="27" spans="1:21" ht="16.5" customHeight="1">
      <c r="A27" s="1"/>
      <c r="C27" s="6"/>
      <c r="E27" s="8"/>
      <c r="F27" s="1"/>
      <c r="G27" s="1"/>
      <c r="L27" s="1"/>
      <c r="N27" s="4"/>
      <c r="R27" s="1"/>
      <c r="S27" s="9"/>
      <c r="U27" s="1"/>
    </row>
    <row r="28" spans="1:21" ht="16.5" customHeight="1">
      <c r="A28" s="1"/>
      <c r="C28" s="6"/>
      <c r="E28" s="8"/>
      <c r="F28" s="1"/>
      <c r="G28" s="1"/>
      <c r="L28" s="1"/>
      <c r="M28" s="1"/>
      <c r="N28" s="1"/>
      <c r="O28" s="1"/>
      <c r="P28" s="1"/>
      <c r="S28" s="1"/>
      <c r="U28" s="1"/>
    </row>
    <row r="29" spans="1:21" ht="15" customHeight="1">
      <c r="A29" s="2" t="s">
        <v>10</v>
      </c>
      <c r="B29" s="2"/>
      <c r="C29" s="2"/>
      <c r="D29" s="1"/>
      <c r="E29" s="1"/>
      <c r="F29" s="1"/>
      <c r="G29" s="2" t="s">
        <v>11</v>
      </c>
      <c r="H29" s="2"/>
      <c r="I29" s="2"/>
      <c r="J29" s="2"/>
      <c r="K29" s="1"/>
      <c r="L29" s="2" t="s">
        <v>12</v>
      </c>
      <c r="M29" s="2"/>
      <c r="N29" s="2"/>
      <c r="O29" s="2"/>
      <c r="P29" s="1"/>
      <c r="Q29" s="7" t="s">
        <v>13</v>
      </c>
      <c r="R29" s="7"/>
      <c r="S29" s="7"/>
      <c r="T29" s="7"/>
      <c r="U29" s="1"/>
    </row>
    <row r="30" spans="1:21" ht="16.5" customHeight="1">
      <c r="A30" s="1">
        <v>1</v>
      </c>
      <c r="B30" t="s">
        <v>79</v>
      </c>
      <c r="C30" s="9">
        <v>0</v>
      </c>
      <c r="E30" s="1"/>
      <c r="F30" s="1"/>
      <c r="G30" s="1">
        <v>1</v>
      </c>
      <c r="H30" t="s">
        <v>4</v>
      </c>
      <c r="I30" s="1">
        <v>22</v>
      </c>
      <c r="J30" t="s">
        <v>87</v>
      </c>
      <c r="K30" s="3"/>
      <c r="L30" s="1">
        <v>1</v>
      </c>
      <c r="M30" t="s">
        <v>4</v>
      </c>
      <c r="N30" s="28">
        <f>14/41*100</f>
        <v>34.146341463414636</v>
      </c>
      <c r="O30" t="s">
        <v>87</v>
      </c>
      <c r="Q30">
        <v>1</v>
      </c>
      <c r="R30" t="s">
        <v>79</v>
      </c>
      <c r="S30" s="1">
        <v>1</v>
      </c>
      <c r="T30" t="s">
        <v>87</v>
      </c>
    </row>
    <row r="31" spans="1:21" ht="16.5" customHeight="1">
      <c r="A31" s="1"/>
      <c r="B31" t="s">
        <v>83</v>
      </c>
      <c r="C31" s="9">
        <v>0</v>
      </c>
      <c r="E31" s="1"/>
      <c r="F31" s="1"/>
      <c r="G31" s="1">
        <v>2</v>
      </c>
      <c r="H31" t="s">
        <v>80</v>
      </c>
      <c r="I31" s="1">
        <v>10</v>
      </c>
      <c r="J31" t="s">
        <v>87</v>
      </c>
      <c r="L31" s="1">
        <v>2</v>
      </c>
      <c r="M31" t="s">
        <v>76</v>
      </c>
      <c r="N31" s="5">
        <f>6/41*100</f>
        <v>14.634146341463413</v>
      </c>
      <c r="O31" t="s">
        <v>87</v>
      </c>
      <c r="R31" t="s">
        <v>76</v>
      </c>
      <c r="S31">
        <v>1</v>
      </c>
      <c r="T31" t="s">
        <v>87</v>
      </c>
    </row>
    <row r="32" spans="1:21" ht="16.5" customHeight="1">
      <c r="A32" s="1"/>
      <c r="B32" t="s">
        <v>76</v>
      </c>
      <c r="C32" s="9">
        <v>0</v>
      </c>
      <c r="E32" s="1"/>
      <c r="F32" s="1"/>
      <c r="G32" s="1">
        <v>3</v>
      </c>
      <c r="H32" s="23" t="s">
        <v>76</v>
      </c>
      <c r="I32" s="4">
        <v>9</v>
      </c>
      <c r="J32" t="s">
        <v>87</v>
      </c>
      <c r="L32" s="1">
        <v>3</v>
      </c>
      <c r="M32" t="s">
        <v>79</v>
      </c>
      <c r="N32" s="28">
        <f>5/41*100</f>
        <v>12.195121951219512</v>
      </c>
      <c r="O32" t="s">
        <v>87</v>
      </c>
      <c r="R32" t="s">
        <v>4</v>
      </c>
      <c r="S32">
        <v>1</v>
      </c>
      <c r="T32" t="s">
        <v>87</v>
      </c>
    </row>
    <row r="33" spans="1:21" ht="16.5" customHeight="1">
      <c r="A33" s="1"/>
      <c r="B33" t="s">
        <v>4</v>
      </c>
      <c r="C33" s="9">
        <v>0</v>
      </c>
      <c r="E33" s="1"/>
      <c r="F33" s="1"/>
      <c r="G33" s="1">
        <v>4</v>
      </c>
      <c r="H33" t="s">
        <v>79</v>
      </c>
      <c r="I33" s="1">
        <v>6</v>
      </c>
      <c r="J33" t="s">
        <v>87</v>
      </c>
      <c r="L33" s="1">
        <v>4</v>
      </c>
      <c r="M33" t="s">
        <v>80</v>
      </c>
      <c r="N33" s="38">
        <f>4/41*100</f>
        <v>9.7560975609756095</v>
      </c>
      <c r="O33" t="s">
        <v>87</v>
      </c>
      <c r="P33" s="3"/>
      <c r="S33" s="1"/>
    </row>
    <row r="34" spans="1:21" ht="16.5" customHeight="1">
      <c r="A34" s="1"/>
      <c r="B34" t="s">
        <v>80</v>
      </c>
      <c r="C34">
        <v>0</v>
      </c>
      <c r="E34" s="1"/>
      <c r="F34" s="1"/>
      <c r="G34" s="1">
        <v>5</v>
      </c>
      <c r="H34" t="s">
        <v>84</v>
      </c>
      <c r="I34" s="4">
        <v>5</v>
      </c>
      <c r="J34" t="s">
        <v>87</v>
      </c>
      <c r="L34" s="1">
        <v>5</v>
      </c>
      <c r="M34" t="s">
        <v>82</v>
      </c>
      <c r="N34" s="28">
        <f>2/41*100</f>
        <v>4.8780487804878048</v>
      </c>
      <c r="O34" t="s">
        <v>87</v>
      </c>
      <c r="P34" s="3"/>
      <c r="Q34" s="1"/>
    </row>
    <row r="35" spans="1:21" ht="16.5" customHeight="1">
      <c r="A35" s="1"/>
      <c r="B35" t="s">
        <v>84</v>
      </c>
      <c r="C35" s="9">
        <v>0</v>
      </c>
      <c r="E35" s="1"/>
      <c r="F35" s="1"/>
      <c r="G35" s="1">
        <v>6</v>
      </c>
      <c r="H35" t="s">
        <v>85</v>
      </c>
      <c r="I35" s="1">
        <v>4</v>
      </c>
      <c r="J35" t="s">
        <v>87</v>
      </c>
      <c r="L35" s="1">
        <v>6</v>
      </c>
      <c r="M35" t="s">
        <v>83</v>
      </c>
      <c r="N35" s="28">
        <f>1/41*100</f>
        <v>2.4390243902439024</v>
      </c>
      <c r="O35" t="s">
        <v>87</v>
      </c>
      <c r="Q35" s="1"/>
    </row>
    <row r="36" spans="1:21" ht="16.5" customHeight="1">
      <c r="A36" s="1"/>
      <c r="B36" t="s">
        <v>82</v>
      </c>
      <c r="C36" s="9">
        <v>0</v>
      </c>
      <c r="D36" s="8"/>
      <c r="F36" s="1"/>
      <c r="G36" s="1">
        <v>7</v>
      </c>
      <c r="H36" t="s">
        <v>83</v>
      </c>
      <c r="I36" s="1">
        <v>3</v>
      </c>
      <c r="J36" t="s">
        <v>87</v>
      </c>
      <c r="L36" s="1"/>
      <c r="M36" t="s">
        <v>84</v>
      </c>
      <c r="N36" s="28">
        <f>1/41*100</f>
        <v>2.4390243902439024</v>
      </c>
      <c r="O36" t="s">
        <v>87</v>
      </c>
      <c r="Q36" s="1"/>
      <c r="R36" s="23"/>
      <c r="T36" s="23"/>
    </row>
    <row r="37" spans="1:21" ht="16.5" customHeight="1">
      <c r="A37" s="1">
        <v>8</v>
      </c>
      <c r="B37" t="s">
        <v>78</v>
      </c>
      <c r="C37" s="9">
        <v>1</v>
      </c>
      <c r="F37" s="1"/>
      <c r="G37" s="1">
        <v>8</v>
      </c>
      <c r="H37" t="s">
        <v>78</v>
      </c>
      <c r="I37" s="1">
        <v>2</v>
      </c>
      <c r="J37" t="s">
        <v>87</v>
      </c>
      <c r="L37" s="1"/>
      <c r="N37" s="4"/>
      <c r="P37" s="3"/>
    </row>
    <row r="38" spans="1:21" ht="16.5" customHeight="1">
      <c r="A38" s="1"/>
      <c r="B38" t="s">
        <v>81</v>
      </c>
      <c r="C38" s="9">
        <v>1</v>
      </c>
      <c r="F38" s="1"/>
      <c r="G38" s="1"/>
      <c r="H38" t="s">
        <v>81</v>
      </c>
      <c r="I38" s="1">
        <v>2</v>
      </c>
      <c r="J38" t="s">
        <v>87</v>
      </c>
      <c r="L38" s="1"/>
      <c r="P38" s="3"/>
    </row>
    <row r="39" spans="1:21" ht="16.5" customHeight="1">
      <c r="A39" s="1"/>
      <c r="B39" t="s">
        <v>85</v>
      </c>
      <c r="C39" s="9">
        <v>1</v>
      </c>
      <c r="F39" s="1"/>
      <c r="G39" s="1"/>
      <c r="H39" t="s">
        <v>82</v>
      </c>
      <c r="I39" s="1">
        <v>2</v>
      </c>
      <c r="J39" t="s">
        <v>87</v>
      </c>
      <c r="L39" s="1"/>
      <c r="P39" s="3"/>
    </row>
    <row r="40" spans="1:21" ht="16.5" customHeight="1">
      <c r="A40" s="1"/>
      <c r="B40" t="s">
        <v>86</v>
      </c>
      <c r="C40" s="9">
        <v>1</v>
      </c>
      <c r="F40" s="1"/>
      <c r="G40" s="1"/>
      <c r="I40" s="1"/>
      <c r="L40" s="1"/>
      <c r="N40" s="4"/>
      <c r="P40" s="3"/>
    </row>
    <row r="41" spans="1:21" ht="16.5" customHeight="1">
      <c r="A41" s="1"/>
      <c r="C41" s="9"/>
      <c r="E41" s="1"/>
      <c r="F41" s="1"/>
      <c r="G41" s="1"/>
      <c r="L41" s="1"/>
      <c r="N41" s="1"/>
      <c r="P41" s="3"/>
    </row>
    <row r="42" spans="1:21" ht="16.5" customHeight="1">
      <c r="A42" s="1"/>
      <c r="C42" s="9"/>
      <c r="E42" s="1"/>
      <c r="F42" s="1"/>
      <c r="G42" s="1"/>
      <c r="L42" s="1"/>
      <c r="P42" s="3"/>
    </row>
    <row r="43" spans="1:21" ht="15" customHeight="1">
      <c r="A43" s="2" t="s">
        <v>10</v>
      </c>
      <c r="B43" s="2"/>
      <c r="C43" s="2" t="s">
        <v>14</v>
      </c>
      <c r="D43" s="1"/>
      <c r="E43" s="1"/>
      <c r="F43" s="1"/>
      <c r="G43" s="2" t="s">
        <v>15</v>
      </c>
      <c r="H43" s="2"/>
      <c r="I43" s="2"/>
      <c r="J43" s="2"/>
      <c r="K43" s="1"/>
      <c r="L43" s="2" t="s">
        <v>16</v>
      </c>
      <c r="M43" s="2"/>
      <c r="N43" s="2"/>
      <c r="O43" s="1"/>
      <c r="P43" s="1"/>
      <c r="Q43" s="7" t="s">
        <v>17</v>
      </c>
      <c r="R43" s="7"/>
      <c r="S43" s="7"/>
      <c r="T43" s="1"/>
      <c r="U43" s="1"/>
    </row>
    <row r="44" spans="1:21" ht="16.5" customHeight="1">
      <c r="A44" s="1">
        <v>1</v>
      </c>
      <c r="B44" t="s">
        <v>79</v>
      </c>
      <c r="C44" s="9">
        <f>0/1</f>
        <v>0</v>
      </c>
      <c r="D44" s="3"/>
      <c r="E44" s="1"/>
      <c r="F44" s="1"/>
      <c r="G44" s="1">
        <v>1</v>
      </c>
      <c r="H44" t="s">
        <v>98</v>
      </c>
      <c r="I44" s="1">
        <v>11</v>
      </c>
      <c r="J44" t="s">
        <v>87</v>
      </c>
      <c r="L44" s="1">
        <v>1</v>
      </c>
      <c r="M44" t="s">
        <v>98</v>
      </c>
      <c r="N44" s="1">
        <v>11</v>
      </c>
      <c r="O44" s="1"/>
      <c r="P44" s="1"/>
      <c r="Q44" t="s">
        <v>68</v>
      </c>
      <c r="R44" t="s">
        <v>68</v>
      </c>
      <c r="S44" t="s">
        <v>68</v>
      </c>
      <c r="T44" s="1"/>
      <c r="U44" s="1"/>
    </row>
    <row r="45" spans="1:21" ht="16.5" customHeight="1">
      <c r="A45" s="1"/>
      <c r="B45" t="s">
        <v>83</v>
      </c>
      <c r="C45" s="9">
        <f>0/1</f>
        <v>0</v>
      </c>
      <c r="E45" s="1"/>
      <c r="F45" s="1"/>
      <c r="G45" s="1">
        <v>2</v>
      </c>
      <c r="H45" t="s">
        <v>97</v>
      </c>
      <c r="I45" s="1">
        <v>9</v>
      </c>
      <c r="J45" t="s">
        <v>87</v>
      </c>
      <c r="K45" s="3"/>
      <c r="L45" s="1">
        <v>2</v>
      </c>
      <c r="M45" t="s">
        <v>97</v>
      </c>
      <c r="N45" s="1">
        <v>9</v>
      </c>
      <c r="O45" s="1"/>
      <c r="P45" s="1"/>
      <c r="Q45" s="1"/>
      <c r="S45" s="1"/>
      <c r="T45" s="1"/>
      <c r="U45" s="1"/>
    </row>
    <row r="46" spans="1:21" ht="16.5" customHeight="1">
      <c r="A46" s="1"/>
      <c r="B46" t="s">
        <v>76</v>
      </c>
      <c r="C46" s="9">
        <f>0/1</f>
        <v>0</v>
      </c>
      <c r="E46" s="1"/>
      <c r="F46" s="1"/>
      <c r="G46" s="1">
        <v>3</v>
      </c>
      <c r="H46" t="s">
        <v>99</v>
      </c>
      <c r="I46" s="1">
        <v>7</v>
      </c>
      <c r="J46" t="s">
        <v>87</v>
      </c>
      <c r="K46" s="3"/>
      <c r="L46" s="1">
        <v>3</v>
      </c>
      <c r="M46" t="s">
        <v>99</v>
      </c>
      <c r="N46" s="1">
        <v>7</v>
      </c>
      <c r="O46" s="1"/>
      <c r="P46" s="1"/>
      <c r="Q46" s="1"/>
      <c r="S46" s="1"/>
      <c r="T46" s="1"/>
      <c r="U46" s="1"/>
    </row>
    <row r="47" spans="1:21" ht="16.5" customHeight="1">
      <c r="A47" s="1"/>
      <c r="B47" t="s">
        <v>4</v>
      </c>
      <c r="C47" s="9">
        <f>0/1</f>
        <v>0</v>
      </c>
      <c r="E47" s="1"/>
      <c r="F47" s="1"/>
      <c r="G47" s="1">
        <v>4</v>
      </c>
      <c r="H47" s="1" t="s">
        <v>93</v>
      </c>
      <c r="I47" s="1">
        <v>6</v>
      </c>
      <c r="J47" t="s">
        <v>87</v>
      </c>
      <c r="L47" s="1">
        <v>4</v>
      </c>
      <c r="M47" s="1" t="s">
        <v>93</v>
      </c>
      <c r="N47" s="1">
        <v>6</v>
      </c>
      <c r="O47" s="1"/>
      <c r="P47" s="1"/>
      <c r="Q47" s="1"/>
      <c r="R47" s="1"/>
      <c r="S47" s="1"/>
      <c r="T47" s="1"/>
      <c r="U47" s="1"/>
    </row>
    <row r="48" spans="1:21" ht="18" customHeight="1">
      <c r="A48" s="1"/>
      <c r="B48" t="s">
        <v>80</v>
      </c>
      <c r="C48" s="9">
        <f>0/1</f>
        <v>0</v>
      </c>
      <c r="E48" s="1"/>
      <c r="F48" s="1"/>
      <c r="G48" s="1">
        <v>5</v>
      </c>
      <c r="H48" s="1" t="s">
        <v>96</v>
      </c>
      <c r="I48" s="1">
        <v>3</v>
      </c>
      <c r="J48" t="s">
        <v>87</v>
      </c>
      <c r="K48" s="3"/>
      <c r="L48" s="1">
        <v>5</v>
      </c>
      <c r="M48" s="1" t="s">
        <v>96</v>
      </c>
      <c r="N48" s="1">
        <v>3</v>
      </c>
      <c r="O48" s="1"/>
      <c r="P48" s="1"/>
      <c r="Q48" s="1"/>
      <c r="U48" s="1"/>
    </row>
    <row r="49" spans="1:21" ht="16.5" customHeight="1">
      <c r="A49" s="1"/>
      <c r="B49" t="s">
        <v>84</v>
      </c>
      <c r="C49" s="9">
        <f>0/1</f>
        <v>0</v>
      </c>
      <c r="E49" s="1"/>
      <c r="F49" s="1"/>
      <c r="G49" s="1">
        <v>6</v>
      </c>
      <c r="H49" t="s">
        <v>95</v>
      </c>
      <c r="I49" s="1">
        <v>2</v>
      </c>
      <c r="J49" t="s">
        <v>87</v>
      </c>
      <c r="L49" s="1">
        <v>6</v>
      </c>
      <c r="M49" t="s">
        <v>95</v>
      </c>
      <c r="N49" s="1">
        <v>2</v>
      </c>
      <c r="O49" s="1"/>
      <c r="Q49" s="1"/>
    </row>
    <row r="50" spans="1:21" ht="16.5" customHeight="1">
      <c r="A50" s="1"/>
      <c r="B50" t="s">
        <v>82</v>
      </c>
      <c r="C50" s="9">
        <f>0/1</f>
        <v>0</v>
      </c>
      <c r="E50" s="1"/>
      <c r="F50" s="1"/>
      <c r="G50" s="1"/>
      <c r="H50" s="1" t="s">
        <v>90</v>
      </c>
      <c r="I50" s="1">
        <v>2</v>
      </c>
      <c r="J50" t="s">
        <v>87</v>
      </c>
      <c r="L50" s="1"/>
      <c r="M50" s="1" t="s">
        <v>90</v>
      </c>
      <c r="N50" s="1">
        <v>2</v>
      </c>
      <c r="O50" s="1"/>
      <c r="U50" s="1"/>
    </row>
    <row r="51" spans="1:21" ht="16.5" customHeight="1">
      <c r="A51" s="1">
        <v>8</v>
      </c>
      <c r="B51" t="s">
        <v>78</v>
      </c>
      <c r="C51" s="9">
        <f>1/1</f>
        <v>1</v>
      </c>
      <c r="E51" s="1"/>
      <c r="F51" s="1"/>
      <c r="G51" s="1">
        <v>8</v>
      </c>
      <c r="H51" s="1" t="s">
        <v>94</v>
      </c>
      <c r="I51" s="1">
        <v>1</v>
      </c>
      <c r="J51" t="s">
        <v>87</v>
      </c>
      <c r="K51" s="3"/>
      <c r="L51" s="1">
        <v>8</v>
      </c>
      <c r="M51" s="1" t="s">
        <v>94</v>
      </c>
      <c r="N51" s="1">
        <v>1</v>
      </c>
      <c r="O51" s="1"/>
      <c r="P51" s="1"/>
    </row>
    <row r="52" spans="1:21" ht="16.5" customHeight="1">
      <c r="A52" s="1"/>
      <c r="B52" t="s">
        <v>81</v>
      </c>
      <c r="C52" s="9">
        <f>1/1</f>
        <v>1</v>
      </c>
      <c r="E52" s="1"/>
      <c r="F52" s="1"/>
      <c r="G52" s="1">
        <v>9</v>
      </c>
      <c r="H52" s="1" t="s">
        <v>92</v>
      </c>
      <c r="I52" s="1">
        <v>0</v>
      </c>
      <c r="J52" t="s">
        <v>87</v>
      </c>
      <c r="L52" s="1">
        <v>9</v>
      </c>
      <c r="M52" s="1" t="s">
        <v>92</v>
      </c>
      <c r="N52" s="1">
        <v>0</v>
      </c>
      <c r="O52" s="1"/>
      <c r="P52" s="1"/>
    </row>
    <row r="53" spans="1:21" ht="16.5" customHeight="1">
      <c r="A53" s="1"/>
      <c r="B53" t="s">
        <v>85</v>
      </c>
      <c r="C53" s="9">
        <f>1/1</f>
        <v>1</v>
      </c>
      <c r="E53" s="1"/>
      <c r="F53" s="1"/>
      <c r="G53" s="1"/>
      <c r="H53" s="1" t="s">
        <v>91</v>
      </c>
      <c r="I53" s="1">
        <v>0</v>
      </c>
      <c r="J53" t="s">
        <v>87</v>
      </c>
      <c r="L53" s="1"/>
      <c r="M53" s="1" t="s">
        <v>91</v>
      </c>
      <c r="N53" s="1">
        <v>0</v>
      </c>
      <c r="O53" s="1"/>
      <c r="P53" s="1"/>
    </row>
    <row r="54" spans="1:21" ht="16.5" customHeight="1">
      <c r="A54" s="1"/>
      <c r="B54" t="s">
        <v>86</v>
      </c>
      <c r="C54" s="9">
        <f>1/1</f>
        <v>1</v>
      </c>
      <c r="E54" s="1"/>
      <c r="F54" s="1"/>
      <c r="G54" s="1"/>
      <c r="H54" t="s">
        <v>89</v>
      </c>
      <c r="I54">
        <v>0</v>
      </c>
      <c r="J54" t="s">
        <v>87</v>
      </c>
      <c r="L54" s="1"/>
      <c r="M54" t="s">
        <v>89</v>
      </c>
      <c r="N54">
        <v>0</v>
      </c>
      <c r="O54" s="1"/>
      <c r="P54" s="1"/>
      <c r="Q54" s="7" t="s">
        <v>18</v>
      </c>
      <c r="R54" s="7"/>
      <c r="S54" s="7"/>
      <c r="T54" s="7"/>
    </row>
    <row r="55" spans="1:21" ht="16.5" customHeight="1">
      <c r="A55" s="1"/>
      <c r="B55" s="1"/>
      <c r="C55" s="6"/>
      <c r="E55" s="1"/>
      <c r="F55" s="1"/>
      <c r="G55" s="1"/>
      <c r="L55" s="1"/>
      <c r="N55" s="1"/>
      <c r="O55" s="8"/>
      <c r="P55" s="1"/>
      <c r="Q55" t="s">
        <v>68</v>
      </c>
      <c r="R55" t="s">
        <v>68</v>
      </c>
      <c r="S55" t="s">
        <v>68</v>
      </c>
      <c r="T55" t="s">
        <v>68</v>
      </c>
    </row>
    <row r="56" spans="1:21" ht="16.5" customHeight="1">
      <c r="A56" s="1"/>
      <c r="C56" s="6"/>
      <c r="E56" s="1"/>
      <c r="F56" s="1"/>
      <c r="G56" s="1"/>
      <c r="J56" s="1"/>
      <c r="L56" s="1"/>
      <c r="N56" s="1"/>
      <c r="O56" s="8"/>
      <c r="P56" s="1"/>
      <c r="Q56" s="1"/>
      <c r="S56" s="1"/>
      <c r="U56" s="1"/>
    </row>
    <row r="57" spans="1:21" ht="18" customHeight="1">
      <c r="A57" s="1"/>
      <c r="C57" s="6"/>
      <c r="E57" s="1"/>
      <c r="F57" s="1"/>
      <c r="G57" s="1"/>
      <c r="J57" s="1"/>
      <c r="L57" s="1"/>
      <c r="N57" s="1"/>
      <c r="O57" s="8"/>
      <c r="P57" s="1"/>
      <c r="Q57" s="1"/>
      <c r="S57" s="1"/>
      <c r="T57" s="1"/>
      <c r="U57" s="1"/>
    </row>
    <row r="58" spans="1:21" ht="18" customHeight="1">
      <c r="A58" s="1"/>
      <c r="C58" s="6"/>
      <c r="D58" s="8"/>
      <c r="E58" s="1"/>
      <c r="F58" s="1"/>
      <c r="G58" s="1"/>
      <c r="K58" s="1"/>
      <c r="L58" s="1"/>
      <c r="N58" s="4"/>
      <c r="O58" s="8"/>
      <c r="P58" s="1"/>
      <c r="Q58" s="1"/>
      <c r="U58" s="1"/>
    </row>
    <row r="59" spans="1:21" ht="16.5" customHeight="1">
      <c r="A59" s="1"/>
      <c r="C59" s="6"/>
      <c r="D59" s="8"/>
      <c r="E59" s="1"/>
      <c r="F59" s="1"/>
      <c r="G59" s="1"/>
      <c r="K59" s="1"/>
      <c r="L59" s="1"/>
      <c r="M59" s="1"/>
      <c r="N59" s="1"/>
      <c r="O59" s="8"/>
      <c r="S59" s="4"/>
      <c r="U59" s="1"/>
    </row>
    <row r="60" spans="1:21" ht="16.5" customHeight="1">
      <c r="A60" s="1"/>
      <c r="D60" s="8"/>
      <c r="E60" s="1"/>
      <c r="F60" s="1"/>
      <c r="G60" s="1"/>
      <c r="K60" s="1"/>
      <c r="L60" s="1"/>
      <c r="M60" s="1"/>
      <c r="N60" s="1"/>
      <c r="O60" s="8"/>
      <c r="P60" s="1"/>
      <c r="U60" s="3"/>
    </row>
    <row r="61" spans="1:21" ht="18" customHeight="1">
      <c r="A61" s="1"/>
      <c r="C61" s="6"/>
      <c r="E61" s="1"/>
      <c r="F61" s="1"/>
      <c r="G61" s="1"/>
      <c r="K61" s="1"/>
      <c r="L61" s="1"/>
      <c r="N61" s="1"/>
      <c r="O61" s="8"/>
      <c r="P61" s="1"/>
      <c r="R61" s="1"/>
      <c r="S61" s="1"/>
    </row>
    <row r="62" spans="1:21" ht="18" customHeight="1">
      <c r="A62" s="1"/>
      <c r="E62" s="1"/>
      <c r="F62" s="1"/>
      <c r="G62" s="1"/>
      <c r="K62" s="1"/>
      <c r="L62" s="1"/>
      <c r="M62" s="1"/>
      <c r="N62" s="1"/>
      <c r="O62" s="8"/>
      <c r="P62" s="1"/>
    </row>
    <row r="63" spans="1:21" ht="16.5" customHeight="1">
      <c r="A63" s="1"/>
      <c r="D63" s="8"/>
      <c r="E63" s="1"/>
      <c r="F63" s="1"/>
      <c r="G63" s="1"/>
      <c r="K63" s="1"/>
      <c r="L63" s="1"/>
      <c r="M63" s="1"/>
      <c r="N63" s="1"/>
      <c r="O63" s="8"/>
      <c r="Q63" s="8"/>
    </row>
    <row r="64" spans="1:21" ht="16.5" customHeight="1">
      <c r="A64" s="1"/>
      <c r="D64" s="8"/>
      <c r="E64" s="1"/>
      <c r="F64" s="1"/>
      <c r="G64" s="1"/>
      <c r="K64" s="1"/>
      <c r="L64" s="1"/>
      <c r="M64" s="1"/>
      <c r="N64" s="1"/>
      <c r="O64" s="8"/>
      <c r="Q64" s="8"/>
    </row>
    <row r="65" spans="1:21" ht="16.5" customHeight="1">
      <c r="A65" s="1"/>
      <c r="C65" s="6"/>
      <c r="E65" s="1"/>
      <c r="F65" s="1"/>
      <c r="G65" s="1"/>
      <c r="K65" s="1"/>
      <c r="L65" s="1"/>
      <c r="M65" s="29"/>
      <c r="N65" s="4"/>
      <c r="O65" s="8"/>
      <c r="Q65" s="8"/>
    </row>
    <row r="66" spans="1:21" ht="16.5" customHeight="1">
      <c r="A66" s="1"/>
      <c r="C66" s="6"/>
      <c r="E66" s="1"/>
      <c r="F66" s="1"/>
      <c r="G66" s="1"/>
      <c r="K66" s="1"/>
      <c r="L66" s="1"/>
      <c r="M66" s="1"/>
      <c r="N66" s="1"/>
      <c r="O66" s="8"/>
      <c r="Q66" s="8"/>
      <c r="R66" s="23"/>
      <c r="S66" s="1"/>
      <c r="T66" s="23"/>
    </row>
    <row r="67" spans="1:21" ht="16.5" customHeight="1">
      <c r="A67" s="1"/>
      <c r="C67" s="6"/>
      <c r="D67" s="8"/>
      <c r="E67" s="1"/>
      <c r="F67" s="1"/>
      <c r="G67" s="1"/>
      <c r="J67" s="1"/>
      <c r="K67" s="1"/>
      <c r="L67" s="1"/>
      <c r="M67" s="1"/>
      <c r="N67" s="1"/>
      <c r="R67" s="23"/>
      <c r="S67" s="1"/>
      <c r="T67" s="23"/>
    </row>
    <row r="68" spans="1:21" ht="16.5" customHeight="1">
      <c r="A68" s="1"/>
      <c r="C68" s="6"/>
      <c r="D68" s="8"/>
      <c r="E68" s="1"/>
      <c r="F68" s="1"/>
      <c r="G68" s="1"/>
      <c r="K68" s="1"/>
      <c r="L68" s="1"/>
      <c r="M68" s="1"/>
      <c r="N68" s="4"/>
      <c r="Q68" s="3"/>
      <c r="R68" s="1"/>
      <c r="S68" s="1"/>
      <c r="T68" s="1"/>
      <c r="U68" s="1"/>
    </row>
    <row r="69" spans="1:21" ht="16.5" customHeight="1">
      <c r="A69" s="1"/>
      <c r="C69" s="6"/>
      <c r="E69" s="1"/>
      <c r="F69" s="1"/>
      <c r="G69" s="1"/>
      <c r="J69" s="1"/>
      <c r="K69" s="1"/>
      <c r="L69" s="1"/>
      <c r="M69" s="30"/>
      <c r="N69" s="1"/>
      <c r="Q69" s="8"/>
      <c r="R69" s="1"/>
      <c r="S69" s="1"/>
      <c r="T69" s="1"/>
      <c r="U69" s="1"/>
    </row>
    <row r="70" spans="1:21" ht="16.5" customHeight="1">
      <c r="A70" s="1"/>
      <c r="D70" s="8"/>
      <c r="E70" s="1"/>
      <c r="F70" s="1"/>
      <c r="G70" s="1"/>
      <c r="H70" s="1"/>
      <c r="I70" s="1"/>
      <c r="J70" s="1"/>
      <c r="K70" s="1"/>
      <c r="L70" s="1"/>
      <c r="M70" s="1"/>
      <c r="N70" s="4"/>
      <c r="Q70" s="1"/>
      <c r="R70" s="1"/>
      <c r="S70" s="1"/>
      <c r="T70" s="1"/>
      <c r="U70" s="1"/>
    </row>
    <row r="71" spans="1:21" ht="16.5" customHeight="1">
      <c r="A71" s="1"/>
      <c r="C71" s="5"/>
      <c r="E71" s="1"/>
      <c r="F71" s="1"/>
      <c r="G71" s="1"/>
      <c r="J71" s="1"/>
      <c r="K71" s="1"/>
      <c r="L71" s="1"/>
      <c r="M71" s="1"/>
      <c r="N71" s="1"/>
      <c r="Q71" s="1"/>
      <c r="R71" s="1"/>
      <c r="S71" s="1"/>
      <c r="T71" s="1"/>
      <c r="U71" s="1"/>
    </row>
    <row r="72" spans="1:21" ht="16.5" customHeight="1">
      <c r="A72" s="1"/>
      <c r="E72" s="1"/>
      <c r="F72" s="1"/>
      <c r="G72" s="1"/>
      <c r="J72" s="1"/>
      <c r="K72" s="1"/>
      <c r="L72" s="1"/>
      <c r="M72" s="1"/>
      <c r="N72" s="1"/>
      <c r="Q72" s="1"/>
      <c r="R72" s="1"/>
      <c r="S72" s="1"/>
      <c r="T72" s="1"/>
      <c r="U72" s="1"/>
    </row>
    <row r="73" spans="1:21" ht="16.5" customHeight="1">
      <c r="A73" s="1"/>
      <c r="E73" s="1"/>
      <c r="F73" s="1"/>
      <c r="G73" s="1"/>
      <c r="K73" s="1"/>
      <c r="L73" s="1"/>
      <c r="M73" s="29"/>
      <c r="N73" s="1"/>
      <c r="Q73" s="1"/>
      <c r="R73" s="1"/>
      <c r="S73" s="1"/>
      <c r="T73" s="1"/>
      <c r="U73" s="1"/>
    </row>
    <row r="74" spans="1:21" ht="16.5" customHeight="1">
      <c r="A74" s="1"/>
      <c r="E74" s="1"/>
      <c r="F74" s="1"/>
      <c r="G74" s="1"/>
      <c r="K74" s="1"/>
      <c r="L74" s="1"/>
      <c r="M74" s="1"/>
      <c r="N74" s="1"/>
      <c r="Q74" s="1"/>
      <c r="R74" s="1"/>
      <c r="S74" s="1"/>
      <c r="T74" s="1"/>
      <c r="U74" s="1"/>
    </row>
    <row r="75" spans="1:21" ht="16.5" customHeight="1">
      <c r="A75" s="1"/>
      <c r="E75" s="1"/>
      <c r="F75" s="1"/>
      <c r="G75" s="1"/>
      <c r="K75" s="1"/>
      <c r="L75" s="1"/>
      <c r="M75" s="1"/>
      <c r="N75" s="1"/>
      <c r="Q75" s="1"/>
      <c r="R75" s="1"/>
      <c r="S75" s="1"/>
      <c r="T75" s="1"/>
      <c r="U75" s="1"/>
    </row>
    <row r="76" spans="1:21" ht="16.5" customHeight="1">
      <c r="A76" s="1"/>
      <c r="E76" s="1"/>
      <c r="F76" s="1"/>
      <c r="G76" s="1"/>
      <c r="K76" s="1"/>
      <c r="L76" s="1"/>
      <c r="M76" s="1"/>
      <c r="N76" s="1"/>
      <c r="O76" s="8"/>
      <c r="Q76" s="1"/>
      <c r="R76" s="1"/>
      <c r="S76" s="1"/>
      <c r="T76" s="1"/>
      <c r="U76" s="1"/>
    </row>
    <row r="77" spans="1:21" ht="16.5" customHeight="1">
      <c r="A77" s="1"/>
      <c r="E77" s="1"/>
      <c r="F77" s="1"/>
      <c r="G77" s="1"/>
      <c r="J77" s="1"/>
      <c r="K77" s="1"/>
      <c r="L77" s="1"/>
      <c r="M77" s="1"/>
      <c r="N77" s="1"/>
      <c r="Q77" s="1"/>
      <c r="R77" s="1"/>
      <c r="S77" s="1"/>
      <c r="T77" s="1"/>
      <c r="U77" s="1"/>
    </row>
    <row r="78" spans="1:21" ht="16.5" customHeight="1">
      <c r="A78" s="1"/>
      <c r="E78" s="1"/>
      <c r="F78" s="1"/>
      <c r="G78" s="1"/>
      <c r="H78" s="1"/>
      <c r="I78" s="1"/>
      <c r="J78" s="1"/>
      <c r="K78" s="1"/>
      <c r="L78" s="1"/>
      <c r="M78" s="1"/>
      <c r="N78" s="4"/>
      <c r="Q78" s="1"/>
      <c r="R78" s="1"/>
      <c r="S78" s="1"/>
      <c r="T78" s="1"/>
      <c r="U78" s="1"/>
    </row>
    <row r="79" spans="1:21" ht="16.5" customHeight="1">
      <c r="A79" s="1"/>
      <c r="E79" s="1"/>
      <c r="F79" s="1"/>
      <c r="G79" s="1"/>
      <c r="J79" s="1"/>
      <c r="K79" s="1"/>
      <c r="L79" s="1"/>
      <c r="M79" s="1"/>
      <c r="N79" s="4"/>
      <c r="O79" s="8"/>
      <c r="Q79" s="1"/>
      <c r="R79" s="1"/>
      <c r="S79" s="1"/>
      <c r="T79" s="1"/>
      <c r="U79" s="1"/>
    </row>
    <row r="80" spans="1:21" ht="16.5" customHeight="1">
      <c r="A80" s="1"/>
      <c r="E80" s="1"/>
      <c r="F80" s="1"/>
      <c r="G80" s="1"/>
      <c r="J80" s="1"/>
      <c r="K80" s="1"/>
      <c r="M80" s="1"/>
      <c r="N80" s="1"/>
      <c r="O80" s="8"/>
      <c r="Q80" s="1"/>
      <c r="U80" s="1"/>
    </row>
    <row r="81" spans="1:21" ht="16.5" customHeight="1">
      <c r="A81" s="1"/>
      <c r="E81" s="1"/>
      <c r="F81" s="1"/>
      <c r="G81" s="1"/>
      <c r="J81" s="1"/>
      <c r="K81" s="1"/>
      <c r="L81" s="1"/>
      <c r="M81" s="1"/>
      <c r="N81" s="1"/>
      <c r="O81" s="8"/>
      <c r="Q81" s="1"/>
      <c r="R81" s="1"/>
      <c r="S81" s="1"/>
      <c r="T81" s="1"/>
      <c r="U81" s="1"/>
    </row>
    <row r="82" spans="1:21" ht="16.5" customHeight="1">
      <c r="A82" s="1"/>
      <c r="E82" s="1"/>
      <c r="F82" s="1"/>
      <c r="G82" s="1"/>
      <c r="J82" s="1"/>
      <c r="K82" s="1"/>
      <c r="L82" s="1"/>
      <c r="M82" s="1"/>
      <c r="N82" s="1"/>
      <c r="O82" s="8"/>
      <c r="Q82" s="1"/>
      <c r="R82" s="1"/>
      <c r="S82" s="1"/>
      <c r="T82" s="1"/>
      <c r="U82" s="1"/>
    </row>
    <row r="83" spans="1:21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8"/>
      <c r="Q83" s="1"/>
      <c r="R83" s="1"/>
      <c r="S83" s="1"/>
      <c r="T83" s="1"/>
      <c r="U83" s="1"/>
    </row>
    <row r="84" spans="1:21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8"/>
      <c r="Q84" s="1"/>
      <c r="R84" s="1"/>
      <c r="S84" s="1"/>
      <c r="T84" s="1"/>
      <c r="U84" s="1"/>
    </row>
    <row r="85" spans="1:21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8"/>
      <c r="Q85" s="1"/>
      <c r="R85" s="1"/>
      <c r="S85" s="1"/>
      <c r="T85" s="1"/>
      <c r="U85" s="1"/>
    </row>
    <row r="86" spans="1:21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8"/>
      <c r="Q86" s="1"/>
      <c r="R86" s="1"/>
      <c r="S86" s="1"/>
      <c r="T86" s="1"/>
      <c r="U86" s="1"/>
    </row>
    <row r="87" spans="1:21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8"/>
      <c r="Q87" s="1"/>
      <c r="R87" s="1"/>
      <c r="S87" s="1"/>
      <c r="T87" s="1"/>
      <c r="U87" s="1"/>
    </row>
    <row r="88" spans="1:21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8"/>
      <c r="Q88" s="1"/>
      <c r="R88" s="1"/>
      <c r="S88" s="1"/>
      <c r="T88" s="1"/>
      <c r="U88" s="1"/>
    </row>
    <row r="89" spans="1:21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8"/>
      <c r="Q89" s="1"/>
      <c r="R89" s="1"/>
      <c r="S89" s="1"/>
      <c r="T89" s="1"/>
      <c r="U89" s="1"/>
    </row>
    <row r="90" spans="1:21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8"/>
      <c r="Q90" s="1"/>
      <c r="R90" s="1"/>
      <c r="S90" s="1"/>
      <c r="T90" s="1"/>
      <c r="U90" s="1"/>
    </row>
    <row r="91" spans="1:2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8"/>
      <c r="Q91" s="1"/>
      <c r="R91" s="1"/>
      <c r="S91" s="1"/>
      <c r="T91" s="1"/>
      <c r="U91" s="1"/>
    </row>
    <row r="92" spans="1:21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8"/>
      <c r="Q92" s="1"/>
      <c r="R92" s="1"/>
      <c r="S92" s="1"/>
      <c r="T92" s="1"/>
      <c r="U92" s="1"/>
    </row>
    <row r="93" spans="1:21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4"/>
      <c r="O93" s="8"/>
      <c r="Q93" s="1"/>
      <c r="R93" s="1"/>
      <c r="S93" s="1"/>
      <c r="T93" s="1"/>
      <c r="U93" s="1"/>
    </row>
    <row r="94" spans="1:21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8"/>
      <c r="Q94" s="1"/>
      <c r="R94" s="1"/>
      <c r="S94" s="1"/>
      <c r="T94" s="1"/>
      <c r="U94" s="1"/>
    </row>
    <row r="95" spans="1:21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M95" s="1"/>
      <c r="N95" s="1"/>
      <c r="O95" s="8"/>
      <c r="Q95" s="1"/>
      <c r="R95" s="1"/>
      <c r="S95" s="1"/>
      <c r="T95" s="1"/>
      <c r="U95" s="1"/>
    </row>
    <row r="96" spans="1:21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4"/>
      <c r="O96" s="8"/>
      <c r="P96" s="1"/>
      <c r="Q96" s="1"/>
      <c r="R96" s="1"/>
      <c r="S96" s="1"/>
      <c r="T96" s="1"/>
      <c r="U96" s="1"/>
    </row>
    <row r="97" spans="1:21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8"/>
      <c r="P97" s="1"/>
      <c r="Q97" s="1"/>
      <c r="R97" s="1"/>
      <c r="S97" s="1"/>
      <c r="T97" s="1"/>
      <c r="U97" s="1"/>
    </row>
    <row r="98" spans="1:21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8"/>
      <c r="P98" s="1"/>
      <c r="Q98" s="1"/>
      <c r="R98" s="1"/>
      <c r="S98" s="1"/>
      <c r="T98" s="1"/>
      <c r="U98" s="1"/>
    </row>
    <row r="99" spans="1:21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"/>
      <c r="P99" s="1"/>
      <c r="Q99" s="1"/>
      <c r="R99" s="1"/>
      <c r="S99" s="1"/>
      <c r="T99" s="1"/>
      <c r="U99" s="1"/>
    </row>
    <row r="100" spans="1:21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8"/>
      <c r="P100" s="1"/>
      <c r="Q100" s="1"/>
      <c r="R100" s="1"/>
      <c r="S100" s="1"/>
      <c r="T100" s="1"/>
      <c r="U100" s="1"/>
    </row>
    <row r="101" spans="1:2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3"/>
      <c r="N101" s="1"/>
      <c r="O101" s="8"/>
      <c r="P101" s="1"/>
      <c r="Q101" s="1"/>
      <c r="R101" s="1"/>
      <c r="S101" s="1"/>
      <c r="T101" s="1"/>
      <c r="U101" s="1"/>
    </row>
    <row r="102" spans="1:21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8"/>
      <c r="P102" s="1"/>
      <c r="Q102" s="1"/>
      <c r="R102" s="1"/>
      <c r="S102" s="1"/>
      <c r="T102" s="1"/>
      <c r="U102" s="1"/>
    </row>
    <row r="103" spans="1:21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8"/>
      <c r="P103" s="1"/>
      <c r="Q103" s="1"/>
      <c r="R103" s="1"/>
      <c r="S103" s="1"/>
      <c r="T103" s="1"/>
      <c r="U103" s="1"/>
    </row>
    <row r="104" spans="1:21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8"/>
      <c r="P104" s="1"/>
      <c r="Q104" s="1"/>
      <c r="R104" s="1"/>
      <c r="S104" s="1"/>
      <c r="T104" s="1"/>
      <c r="U104" s="1"/>
    </row>
    <row r="105" spans="1:21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3"/>
      <c r="N105" s="1"/>
      <c r="O105" s="3"/>
      <c r="P105" s="1"/>
      <c r="Q105" s="1"/>
      <c r="R105" s="1"/>
      <c r="S105" s="1"/>
      <c r="T105" s="1"/>
      <c r="U105" s="1"/>
    </row>
    <row r="106" spans="1:21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8"/>
      <c r="P106" s="1"/>
      <c r="Q106" s="1"/>
      <c r="R106" s="1"/>
      <c r="S106" s="1"/>
      <c r="T106" s="1"/>
      <c r="U106" s="1"/>
    </row>
    <row r="107" spans="1:21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8"/>
      <c r="P107" s="1"/>
      <c r="Q107" s="1"/>
      <c r="R107" s="1"/>
      <c r="S107" s="1"/>
      <c r="T107" s="1"/>
      <c r="U107" s="1"/>
    </row>
    <row r="108" spans="1:21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8"/>
      <c r="P108" s="1"/>
      <c r="Q108" s="1"/>
      <c r="R108" s="1"/>
      <c r="S108" s="1"/>
      <c r="T108" s="1"/>
      <c r="U108" s="1"/>
    </row>
    <row r="109" spans="1:21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8"/>
      <c r="P109" s="1"/>
      <c r="Q109" s="1"/>
      <c r="R109" s="1"/>
      <c r="S109" s="1"/>
      <c r="T109" s="1"/>
      <c r="U109" s="1"/>
    </row>
    <row r="110" spans="1:21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8"/>
      <c r="P110" s="1"/>
      <c r="Q110" s="1"/>
      <c r="R110" s="1"/>
      <c r="S110" s="1"/>
      <c r="T110" s="1"/>
      <c r="U110" s="1"/>
    </row>
    <row r="111" spans="1:2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8"/>
      <c r="P111" s="1"/>
      <c r="Q111" s="1"/>
      <c r="R111" s="1"/>
      <c r="S111" s="1"/>
      <c r="T111" s="1"/>
      <c r="U111" s="1"/>
    </row>
    <row r="112" spans="1:21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8"/>
      <c r="P112" s="1"/>
      <c r="Q112" s="1"/>
      <c r="R112" s="1"/>
      <c r="S112" s="1"/>
      <c r="T112" s="1"/>
      <c r="U112" s="1"/>
    </row>
    <row r="113" spans="1:21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0"/>
      <c r="N113" s="1"/>
      <c r="O113" s="8"/>
      <c r="P113" s="1"/>
      <c r="Q113" s="1"/>
      <c r="R113" s="1"/>
      <c r="S113" s="1"/>
      <c r="T113" s="1"/>
      <c r="U113" s="1"/>
    </row>
    <row r="114" spans="1:21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8"/>
      <c r="P114" s="1"/>
      <c r="Q114" s="1"/>
      <c r="R114" s="1"/>
      <c r="S114" s="1"/>
      <c r="T114" s="1"/>
      <c r="U114" s="1"/>
    </row>
    <row r="115" spans="1:21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8"/>
      <c r="P115" s="1"/>
      <c r="Q115" s="1"/>
      <c r="R115" s="1"/>
      <c r="S115" s="1"/>
      <c r="T115" s="1"/>
      <c r="U115" s="1"/>
    </row>
    <row r="116" spans="1:21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8"/>
      <c r="P116" s="1"/>
      <c r="Q116" s="1"/>
      <c r="R116" s="1"/>
      <c r="S116" s="1"/>
      <c r="T116" s="1"/>
      <c r="U116" s="1"/>
    </row>
    <row r="117" spans="1:21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8"/>
      <c r="P117" s="1"/>
      <c r="Q117" s="1"/>
      <c r="R117" s="1"/>
      <c r="S117" s="1"/>
      <c r="T117" s="1"/>
      <c r="U117" s="1"/>
    </row>
    <row r="118" spans="1:21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8"/>
      <c r="P118" s="1"/>
      <c r="Q118" s="1"/>
      <c r="R118" s="1"/>
      <c r="S118" s="1"/>
      <c r="T118" s="1"/>
      <c r="U118" s="1"/>
    </row>
    <row r="119" spans="1:21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8"/>
      <c r="P119" s="1"/>
      <c r="Q119" s="1"/>
      <c r="R119" s="1"/>
      <c r="S119" s="1"/>
      <c r="T119" s="1"/>
      <c r="U119" s="1"/>
    </row>
    <row r="120" spans="1:21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8"/>
      <c r="P120" s="1"/>
      <c r="Q120" s="1"/>
      <c r="R120" s="1"/>
      <c r="S120" s="1"/>
      <c r="T120" s="1"/>
      <c r="U120" s="1"/>
    </row>
    <row r="121" spans="1:21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8"/>
      <c r="P121" s="1"/>
      <c r="Q121" s="1"/>
      <c r="R121" s="1"/>
      <c r="S121" s="1"/>
      <c r="T121" s="1"/>
      <c r="U121" s="1"/>
    </row>
    <row r="122" spans="1:21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8"/>
      <c r="P122" s="1"/>
      <c r="Q122" s="1"/>
      <c r="R122" s="1"/>
      <c r="S122" s="1"/>
      <c r="T122" s="1"/>
      <c r="U122" s="1"/>
    </row>
    <row r="123" spans="1:21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3"/>
      <c r="N123" s="1"/>
      <c r="O123" s="3"/>
      <c r="P123" s="1"/>
      <c r="Q123" s="1"/>
      <c r="R123" s="1"/>
      <c r="S123" s="1"/>
      <c r="T123" s="1"/>
      <c r="U123" s="1"/>
    </row>
    <row r="124" spans="1:21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8"/>
      <c r="P124" s="1"/>
      <c r="Q124" s="1"/>
      <c r="R124" s="1"/>
      <c r="S124" s="1"/>
      <c r="T124" s="1"/>
      <c r="U124" s="1"/>
    </row>
    <row r="125" spans="1:21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8"/>
      <c r="P125" s="1"/>
      <c r="Q125" s="1"/>
      <c r="R125" s="1"/>
      <c r="S125" s="1"/>
      <c r="T125" s="1"/>
      <c r="U125" s="1"/>
    </row>
    <row r="126" spans="1:21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8"/>
      <c r="P126" s="1"/>
      <c r="Q126" s="1"/>
      <c r="R126" s="1"/>
      <c r="S126" s="1"/>
      <c r="T126" s="1"/>
      <c r="U126" s="1"/>
    </row>
    <row r="127" spans="1:21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8"/>
      <c r="P127" s="1"/>
      <c r="Q127" s="1"/>
      <c r="R127" s="1"/>
      <c r="S127" s="1"/>
      <c r="T127" s="1"/>
      <c r="U127" s="1"/>
    </row>
    <row r="128" spans="1:21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8"/>
      <c r="P128" s="1"/>
      <c r="Q128" s="1"/>
      <c r="R128" s="1"/>
      <c r="S128" s="1"/>
      <c r="T128" s="1"/>
      <c r="U128" s="1"/>
    </row>
    <row r="129" spans="1:21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3"/>
      <c r="P129" s="1"/>
      <c r="Q129" s="1"/>
      <c r="R129" s="1"/>
      <c r="S129" s="1"/>
      <c r="T129" s="1"/>
      <c r="U129" s="1"/>
    </row>
    <row r="130" spans="1:21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8"/>
      <c r="P130" s="1"/>
      <c r="Q130" s="1"/>
      <c r="R130" s="1"/>
      <c r="S130" s="1"/>
      <c r="T130" s="1"/>
      <c r="U130" s="1"/>
    </row>
    <row r="131" spans="1:21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8"/>
      <c r="P131" s="1"/>
      <c r="Q131" s="1"/>
      <c r="R131" s="1"/>
      <c r="S131" s="1"/>
      <c r="T131" s="1"/>
      <c r="U131" s="1"/>
    </row>
    <row r="132" spans="1:21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8"/>
      <c r="P132" s="1"/>
      <c r="Q132" s="1"/>
      <c r="R132" s="1"/>
      <c r="S132" s="1"/>
      <c r="T132" s="1"/>
      <c r="U132" s="1"/>
    </row>
    <row r="133" spans="1:21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8"/>
      <c r="P133" s="1"/>
      <c r="Q133" s="1"/>
      <c r="R133" s="1"/>
      <c r="S133" s="1"/>
      <c r="T133" s="1"/>
      <c r="U133" s="1"/>
    </row>
    <row r="134" spans="1:21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8"/>
      <c r="P134" s="1"/>
      <c r="Q134" s="1"/>
      <c r="R134" s="1"/>
      <c r="S134" s="1"/>
      <c r="T134" s="1"/>
      <c r="U134" s="1"/>
    </row>
    <row r="135" spans="1:21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8"/>
      <c r="P135" s="1"/>
      <c r="Q135" s="1"/>
      <c r="R135" s="1"/>
      <c r="S135" s="1"/>
      <c r="T135" s="1"/>
      <c r="U135" s="1"/>
    </row>
    <row r="136" spans="1:21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8"/>
      <c r="P136" s="1"/>
      <c r="Q136" s="1"/>
      <c r="R136" s="1"/>
      <c r="S136" s="1"/>
      <c r="T136" s="1"/>
      <c r="U136" s="1"/>
    </row>
    <row r="137" spans="1:21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8"/>
      <c r="P137" s="1"/>
      <c r="Q137" s="1"/>
      <c r="R137" s="1"/>
      <c r="S137" s="1"/>
      <c r="T137" s="1"/>
      <c r="U137" s="1"/>
    </row>
    <row r="138" spans="1:21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8"/>
      <c r="P138" s="1"/>
      <c r="Q138" s="1"/>
      <c r="R138" s="1"/>
      <c r="S138" s="1"/>
      <c r="T138" s="1"/>
      <c r="U138" s="1"/>
    </row>
    <row r="139" spans="1:21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8"/>
      <c r="P139" s="1"/>
      <c r="Q139" s="1"/>
      <c r="R139" s="1"/>
      <c r="S139" s="1"/>
      <c r="T139" s="1"/>
      <c r="U139" s="1"/>
    </row>
    <row r="140" spans="1:21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8"/>
      <c r="P140" s="1"/>
      <c r="Q140" s="1"/>
      <c r="R140" s="1"/>
      <c r="S140" s="1"/>
      <c r="T140" s="1"/>
      <c r="U140" s="1"/>
    </row>
    <row r="141" spans="1:21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9"/>
      <c r="N141" s="29"/>
      <c r="O141" s="8"/>
      <c r="P141" s="1"/>
      <c r="Q141" s="1"/>
      <c r="R141" s="1"/>
      <c r="S141" s="1"/>
      <c r="T141" s="1"/>
      <c r="U141" s="1"/>
    </row>
    <row r="142" spans="1:21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8"/>
      <c r="P142" s="1"/>
      <c r="Q142" s="1"/>
      <c r="R142" s="1"/>
      <c r="S142" s="1"/>
      <c r="T142" s="1"/>
      <c r="U142" s="1"/>
    </row>
    <row r="143" spans="1:21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8"/>
      <c r="P143" s="1"/>
      <c r="Q143" s="1"/>
      <c r="R143" s="1"/>
      <c r="S143" s="1"/>
      <c r="T143" s="1"/>
      <c r="U143" s="1"/>
    </row>
    <row r="144" spans="1:21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8"/>
      <c r="Q144" s="1"/>
      <c r="R144" s="1"/>
      <c r="S144" s="1"/>
      <c r="T144" s="1"/>
      <c r="U144" s="1"/>
    </row>
    <row r="145" spans="1:21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8"/>
      <c r="P145" s="1"/>
      <c r="Q145" s="1"/>
      <c r="R145" s="1"/>
      <c r="S145" s="1"/>
      <c r="T145" s="1"/>
      <c r="U145" s="1"/>
    </row>
    <row r="146" spans="1:21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8"/>
      <c r="P146" s="1"/>
      <c r="Q146" s="1"/>
      <c r="R146" s="1"/>
      <c r="S146" s="1"/>
      <c r="T146" s="1"/>
      <c r="U146" s="1"/>
    </row>
    <row r="147" spans="1:21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8"/>
      <c r="P147" s="1"/>
      <c r="Q147" s="1"/>
      <c r="R147" s="1"/>
      <c r="S147" s="1"/>
      <c r="T147" s="1"/>
      <c r="U147" s="1"/>
    </row>
    <row r="148" spans="1:21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8"/>
      <c r="P148" s="1"/>
      <c r="Q148" s="1"/>
      <c r="R148" s="1"/>
      <c r="S148" s="1"/>
      <c r="T148" s="1"/>
      <c r="U148" s="1"/>
    </row>
    <row r="149" spans="1:21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8"/>
      <c r="P149" s="1"/>
      <c r="Q149" s="1"/>
      <c r="R149" s="1"/>
      <c r="S149" s="1"/>
      <c r="T149" s="1"/>
      <c r="U149" s="1"/>
    </row>
    <row r="150" spans="1:21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"/>
      <c r="N150" s="1"/>
      <c r="O150" s="3"/>
      <c r="P150" s="1"/>
      <c r="Q150" s="1"/>
      <c r="R150" s="1"/>
      <c r="S150" s="1"/>
      <c r="T150" s="1"/>
      <c r="U150" s="1"/>
    </row>
    <row r="151" spans="1:21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8"/>
      <c r="P151" s="1"/>
      <c r="Q151" s="1"/>
      <c r="R151" s="1"/>
      <c r="S151" s="1"/>
      <c r="T151" s="1"/>
      <c r="U151" s="1"/>
    </row>
    <row r="152" spans="1:21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8"/>
      <c r="P152" s="1"/>
      <c r="Q152" s="1"/>
      <c r="R152" s="1"/>
      <c r="S152" s="1"/>
      <c r="T152" s="1"/>
      <c r="U152" s="1"/>
    </row>
    <row r="153" spans="1:21">
      <c r="M153" s="1"/>
      <c r="N153" s="1"/>
      <c r="O153" s="8"/>
    </row>
    <row r="154" spans="1:21">
      <c r="M154" s="29"/>
      <c r="N154" s="29"/>
      <c r="O154" s="8"/>
    </row>
    <row r="155" spans="1:21">
      <c r="M155" s="1"/>
      <c r="N155" s="1"/>
      <c r="O155" s="8"/>
    </row>
    <row r="156" spans="1:21">
      <c r="M156" s="1"/>
      <c r="N156" s="1"/>
      <c r="O156" s="8"/>
    </row>
    <row r="157" spans="1:21">
      <c r="M157" s="1"/>
      <c r="N157" s="1"/>
      <c r="O157" s="8"/>
    </row>
    <row r="158" spans="1:21">
      <c r="M158" s="1"/>
      <c r="N158" s="1"/>
      <c r="O158" s="8"/>
    </row>
    <row r="159" spans="1:21">
      <c r="M159" s="1"/>
      <c r="N159" s="1"/>
      <c r="O159" s="8"/>
    </row>
    <row r="160" spans="1:21">
      <c r="M160" s="1"/>
      <c r="N160" s="1"/>
      <c r="O160" s="8"/>
    </row>
    <row r="161" spans="13:15">
      <c r="M161" s="1"/>
      <c r="N161" s="1"/>
      <c r="O161" s="8"/>
    </row>
    <row r="162" spans="13:15">
      <c r="M162" s="1"/>
      <c r="N162" s="1"/>
      <c r="O162" s="8"/>
    </row>
    <row r="163" spans="13:15">
      <c r="M163" s="1"/>
      <c r="N163" s="1"/>
      <c r="O163" s="8"/>
    </row>
    <row r="164" spans="13:15">
      <c r="M164" s="1"/>
      <c r="N164" s="1"/>
      <c r="O164" s="8"/>
    </row>
  </sheetData>
  <mergeCells count="4">
    <mergeCell ref="B1:D1"/>
    <mergeCell ref="G1:I1"/>
    <mergeCell ref="L1:N1"/>
    <mergeCell ref="Q1:S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8"/>
  <sheetViews>
    <sheetView zoomScaleNormal="100" workbookViewId="0">
      <selection sqref="A1:C1"/>
    </sheetView>
  </sheetViews>
  <sheetFormatPr defaultColWidth="12.625" defaultRowHeight="15.75"/>
  <cols>
    <col min="1" max="1" width="4.5" customWidth="1"/>
    <col min="2" max="2" width="19.75" customWidth="1"/>
    <col min="3" max="3" width="10.25" customWidth="1"/>
    <col min="4" max="4" width="7.25" customWidth="1"/>
    <col min="5" max="5" width="5.75" customWidth="1"/>
    <col min="6" max="6" width="23.25" customWidth="1"/>
    <col min="7" max="7" width="9.25" customWidth="1"/>
    <col min="8" max="8" width="20.375" customWidth="1"/>
    <col min="9" max="9" width="5.5" customWidth="1"/>
    <col min="10" max="10" width="4.5" customWidth="1"/>
    <col min="11" max="11" width="22.25" customWidth="1"/>
    <col min="12" max="12" width="12" customWidth="1"/>
    <col min="13" max="13" width="20.625" customWidth="1"/>
    <col min="14" max="14" width="4.75" customWidth="1"/>
    <col min="15" max="15" width="7.25" customWidth="1"/>
    <col min="16" max="16" width="18.75" customWidth="1"/>
    <col min="17" max="17" width="9.75" customWidth="1"/>
    <col min="18" max="18" width="21" customWidth="1"/>
    <col min="19" max="19" width="10.75" customWidth="1"/>
  </cols>
  <sheetData>
    <row r="1" spans="1:19" ht="15" customHeight="1">
      <c r="A1" s="34" t="s">
        <v>19</v>
      </c>
      <c r="B1" s="34"/>
      <c r="C1" s="34"/>
      <c r="E1" s="34" t="s">
        <v>20</v>
      </c>
      <c r="F1" s="34"/>
      <c r="G1" s="34"/>
      <c r="H1" s="34"/>
      <c r="J1" s="34" t="s">
        <v>21</v>
      </c>
      <c r="K1" s="34"/>
      <c r="L1" s="34"/>
      <c r="O1" s="34" t="s">
        <v>22</v>
      </c>
      <c r="P1" s="34"/>
      <c r="Q1" s="34"/>
    </row>
    <row r="2" spans="1:19" ht="16.5" customHeight="1">
      <c r="A2">
        <v>1</v>
      </c>
      <c r="B2" t="s">
        <v>85</v>
      </c>
      <c r="C2">
        <v>4</v>
      </c>
      <c r="E2">
        <v>1</v>
      </c>
      <c r="F2" t="s">
        <v>85</v>
      </c>
      <c r="G2" s="31" t="s">
        <v>100</v>
      </c>
      <c r="H2" t="s">
        <v>87</v>
      </c>
      <c r="J2">
        <v>1</v>
      </c>
      <c r="K2" t="s">
        <v>85</v>
      </c>
      <c r="L2" s="39">
        <f>L27/C2</f>
        <v>7.5</v>
      </c>
      <c r="O2">
        <v>1</v>
      </c>
      <c r="P2" t="s">
        <v>80</v>
      </c>
      <c r="Q2" s="5">
        <f>L25/C24*6</f>
        <v>8.5</v>
      </c>
    </row>
    <row r="3" spans="1:19" ht="16.5" customHeight="1">
      <c r="B3" t="s">
        <v>80</v>
      </c>
      <c r="C3">
        <v>4</v>
      </c>
      <c r="D3" s="8"/>
      <c r="E3">
        <v>2</v>
      </c>
      <c r="F3" t="s">
        <v>80</v>
      </c>
      <c r="G3" s="31" t="s">
        <v>101</v>
      </c>
      <c r="H3" t="s">
        <v>87</v>
      </c>
      <c r="J3">
        <v>2</v>
      </c>
      <c r="K3" t="s">
        <v>80</v>
      </c>
      <c r="L3" s="39">
        <f>L25/C3</f>
        <v>8.5</v>
      </c>
      <c r="O3">
        <v>2</v>
      </c>
      <c r="P3" s="10" t="s">
        <v>78</v>
      </c>
      <c r="Q3" s="5">
        <f>L31/C30*6</f>
        <v>9</v>
      </c>
    </row>
    <row r="4" spans="1:19" ht="16.5" customHeight="1">
      <c r="E4">
        <v>3</v>
      </c>
      <c r="F4" s="10" t="s">
        <v>78</v>
      </c>
      <c r="G4" s="32" t="s">
        <v>102</v>
      </c>
      <c r="H4" t="s">
        <v>87</v>
      </c>
      <c r="L4" s="5"/>
      <c r="O4">
        <v>3</v>
      </c>
      <c r="P4" t="s">
        <v>82</v>
      </c>
      <c r="Q4" s="5">
        <f>L28/C28*6</f>
        <v>9.3333333333333339</v>
      </c>
    </row>
    <row r="5" spans="1:19" ht="16.5" customHeight="1">
      <c r="E5">
        <v>4</v>
      </c>
      <c r="F5" t="s">
        <v>84</v>
      </c>
      <c r="G5" s="32" t="s">
        <v>103</v>
      </c>
      <c r="H5" t="s">
        <v>87</v>
      </c>
      <c r="L5" s="5"/>
      <c r="M5" s="8"/>
      <c r="O5">
        <v>4</v>
      </c>
      <c r="P5" t="s">
        <v>85</v>
      </c>
      <c r="Q5" s="39">
        <f>L27/C27*6</f>
        <v>10</v>
      </c>
    </row>
    <row r="6" spans="1:19" ht="16.5" customHeight="1">
      <c r="B6" s="10"/>
      <c r="D6" s="8"/>
      <c r="E6">
        <v>5</v>
      </c>
      <c r="F6" t="s">
        <v>83</v>
      </c>
      <c r="G6" s="32" t="s">
        <v>104</v>
      </c>
      <c r="H6" t="s">
        <v>87</v>
      </c>
      <c r="K6" s="10"/>
      <c r="L6" s="5"/>
      <c r="M6" s="8"/>
      <c r="O6">
        <v>5</v>
      </c>
      <c r="P6" t="s">
        <v>76</v>
      </c>
      <c r="Q6" s="5">
        <f>L26/C26*6</f>
        <v>11</v>
      </c>
    </row>
    <row r="7" spans="1:19" ht="16.5" customHeight="1">
      <c r="B7" s="10"/>
      <c r="D7" s="8"/>
      <c r="F7" t="s">
        <v>82</v>
      </c>
      <c r="G7" s="32" t="s">
        <v>105</v>
      </c>
      <c r="H7" t="s">
        <v>87</v>
      </c>
      <c r="M7" s="8"/>
      <c r="O7">
        <v>6</v>
      </c>
      <c r="P7" t="s">
        <v>79</v>
      </c>
      <c r="Q7" s="5">
        <f>L24/C25*6</f>
        <v>11.666666666666666</v>
      </c>
    </row>
    <row r="8" spans="1:19" ht="16.5" customHeight="1">
      <c r="B8" s="10"/>
      <c r="D8" s="8"/>
      <c r="F8" t="s">
        <v>76</v>
      </c>
      <c r="G8" s="32" t="s">
        <v>106</v>
      </c>
      <c r="H8" t="s">
        <v>87</v>
      </c>
      <c r="M8" s="8"/>
      <c r="O8">
        <v>7</v>
      </c>
      <c r="P8" t="s">
        <v>83</v>
      </c>
      <c r="Q8" s="5">
        <f>L29/C29*6</f>
        <v>12</v>
      </c>
    </row>
    <row r="9" spans="1:19" ht="16.5" customHeight="1">
      <c r="D9" s="8"/>
      <c r="F9" t="s">
        <v>79</v>
      </c>
      <c r="G9" s="32" t="s">
        <v>107</v>
      </c>
      <c r="H9" t="s">
        <v>87</v>
      </c>
      <c r="O9">
        <v>8</v>
      </c>
      <c r="P9" t="s">
        <v>84</v>
      </c>
      <c r="Q9" s="5">
        <f>L30/C31*6</f>
        <v>15</v>
      </c>
    </row>
    <row r="10" spans="1:19" ht="16.5" customHeight="1">
      <c r="D10" s="8"/>
      <c r="R10" s="8"/>
    </row>
    <row r="11" spans="1:19" ht="16.5" customHeight="1">
      <c r="B11" s="10"/>
      <c r="D11" s="8"/>
      <c r="L11" s="5"/>
      <c r="M11" s="8"/>
    </row>
    <row r="12" spans="1:19" ht="15" customHeight="1">
      <c r="A12" s="7" t="s">
        <v>23</v>
      </c>
      <c r="B12" s="7"/>
      <c r="C12" s="7"/>
      <c r="E12" s="7" t="s">
        <v>24</v>
      </c>
      <c r="F12" s="7"/>
      <c r="G12" s="7"/>
      <c r="H12" s="7"/>
      <c r="J12" s="7" t="s">
        <v>25</v>
      </c>
      <c r="K12" s="7"/>
      <c r="L12" s="7"/>
      <c r="M12" s="7"/>
      <c r="O12" s="7" t="s">
        <v>26</v>
      </c>
      <c r="P12" s="7"/>
      <c r="Q12" s="7"/>
      <c r="R12" s="7"/>
    </row>
    <row r="13" spans="1:19" ht="15" customHeight="1">
      <c r="A13">
        <v>1</v>
      </c>
      <c r="B13" t="s">
        <v>85</v>
      </c>
      <c r="C13" s="39">
        <f>C27/C2</f>
        <v>4.5</v>
      </c>
      <c r="E13">
        <v>1</v>
      </c>
      <c r="F13" t="s">
        <v>80</v>
      </c>
      <c r="G13" s="14">
        <v>8.5</v>
      </c>
      <c r="H13" t="s">
        <v>87</v>
      </c>
      <c r="J13">
        <v>1</v>
      </c>
      <c r="K13" t="s">
        <v>85</v>
      </c>
      <c r="L13">
        <v>4.5</v>
      </c>
      <c r="M13" t="s">
        <v>87</v>
      </c>
      <c r="O13">
        <v>1</v>
      </c>
      <c r="P13" t="s">
        <v>85</v>
      </c>
      <c r="Q13" s="31" t="s">
        <v>100</v>
      </c>
      <c r="R13" t="s">
        <v>87</v>
      </c>
    </row>
    <row r="14" spans="1:19" ht="15" customHeight="1">
      <c r="A14">
        <v>2</v>
      </c>
      <c r="B14" t="s">
        <v>80</v>
      </c>
      <c r="C14" s="5">
        <f>C24/C3</f>
        <v>6</v>
      </c>
      <c r="E14">
        <v>2</v>
      </c>
      <c r="F14" s="10" t="s">
        <v>78</v>
      </c>
      <c r="G14" s="14">
        <v>9</v>
      </c>
      <c r="H14" t="s">
        <v>87</v>
      </c>
      <c r="J14">
        <v>2</v>
      </c>
      <c r="K14" t="s">
        <v>80</v>
      </c>
      <c r="L14">
        <v>6</v>
      </c>
      <c r="M14" t="s">
        <v>87</v>
      </c>
      <c r="N14" s="3"/>
      <c r="Q14" s="32"/>
      <c r="S14" s="3"/>
    </row>
    <row r="15" spans="1:19" ht="16.5" customHeight="1">
      <c r="C15" s="5"/>
      <c r="E15">
        <v>3</v>
      </c>
      <c r="F15" t="s">
        <v>82</v>
      </c>
      <c r="G15" s="14">
        <v>9.33</v>
      </c>
      <c r="H15" t="s">
        <v>87</v>
      </c>
      <c r="N15" s="3"/>
    </row>
    <row r="16" spans="1:19" ht="16.5" customHeight="1">
      <c r="C16" s="5"/>
      <c r="E16">
        <v>4</v>
      </c>
      <c r="F16" t="s">
        <v>85</v>
      </c>
      <c r="G16" s="14">
        <v>10</v>
      </c>
      <c r="H16" t="s">
        <v>87</v>
      </c>
      <c r="N16" s="3"/>
      <c r="Q16" s="13"/>
      <c r="R16" s="1"/>
      <c r="S16" s="3"/>
    </row>
    <row r="17" spans="1:18" ht="16.5" customHeight="1">
      <c r="C17" s="5"/>
      <c r="D17" s="8"/>
      <c r="E17">
        <v>5</v>
      </c>
      <c r="F17" t="s">
        <v>76</v>
      </c>
      <c r="G17" s="14">
        <v>11</v>
      </c>
      <c r="H17" t="s">
        <v>87</v>
      </c>
      <c r="N17" s="3"/>
      <c r="P17" s="23"/>
      <c r="Q17" s="24"/>
      <c r="R17" s="25"/>
    </row>
    <row r="18" spans="1:18" ht="16.5" customHeight="1">
      <c r="B18" s="10"/>
      <c r="C18" s="5"/>
      <c r="E18">
        <v>6</v>
      </c>
      <c r="F18" t="s">
        <v>79</v>
      </c>
      <c r="G18" s="14">
        <v>11.67</v>
      </c>
      <c r="H18" t="s">
        <v>87</v>
      </c>
    </row>
    <row r="19" spans="1:18" ht="16.5" customHeight="1">
      <c r="E19">
        <v>7</v>
      </c>
      <c r="F19" t="s">
        <v>83</v>
      </c>
      <c r="G19" s="14">
        <v>12</v>
      </c>
      <c r="H19" t="s">
        <v>87</v>
      </c>
      <c r="R19" s="1"/>
    </row>
    <row r="20" spans="1:18" ht="16.5" customHeight="1">
      <c r="E20">
        <v>8</v>
      </c>
      <c r="F20" t="s">
        <v>84</v>
      </c>
      <c r="G20" s="14">
        <v>15</v>
      </c>
      <c r="H20" t="s">
        <v>87</v>
      </c>
      <c r="R20" s="1"/>
    </row>
    <row r="21" spans="1:18" ht="16.5" customHeight="1">
      <c r="R21" s="1"/>
    </row>
    <row r="22" spans="1:18" ht="16.5" customHeight="1">
      <c r="D22" s="8"/>
    </row>
    <row r="23" spans="1:18" ht="15" customHeight="1">
      <c r="A23" s="7" t="s">
        <v>27</v>
      </c>
      <c r="B23" s="7"/>
      <c r="C23" s="7"/>
      <c r="E23" s="7" t="s">
        <v>28</v>
      </c>
      <c r="F23" s="7"/>
      <c r="G23" s="7"/>
      <c r="J23" s="7" t="s">
        <v>29</v>
      </c>
      <c r="K23" s="7"/>
      <c r="L23" s="7"/>
      <c r="M23" s="1"/>
      <c r="O23" s="7" t="s">
        <v>30</v>
      </c>
      <c r="P23" s="7"/>
      <c r="Q23" s="7"/>
      <c r="R23" s="1"/>
    </row>
    <row r="24" spans="1:18" ht="16.5" customHeight="1">
      <c r="A24">
        <v>1</v>
      </c>
      <c r="B24" t="s">
        <v>80</v>
      </c>
      <c r="C24">
        <v>24</v>
      </c>
      <c r="D24" s="8"/>
      <c r="E24" s="23">
        <v>1</v>
      </c>
      <c r="F24" t="s">
        <v>85</v>
      </c>
      <c r="G24">
        <v>1</v>
      </c>
      <c r="J24">
        <v>1</v>
      </c>
      <c r="K24" s="10" t="s">
        <v>79</v>
      </c>
      <c r="L24">
        <v>35</v>
      </c>
      <c r="O24" s="23" t="s">
        <v>68</v>
      </c>
      <c r="P24" s="23" t="s">
        <v>68</v>
      </c>
      <c r="Q24" s="23" t="s">
        <v>68</v>
      </c>
    </row>
    <row r="25" spans="1:18" ht="16.5" customHeight="1">
      <c r="A25">
        <v>2</v>
      </c>
      <c r="B25" t="s">
        <v>79</v>
      </c>
      <c r="C25">
        <v>18</v>
      </c>
      <c r="D25" s="8"/>
      <c r="F25" s="10"/>
      <c r="J25">
        <v>2</v>
      </c>
      <c r="K25" t="s">
        <v>80</v>
      </c>
      <c r="L25">
        <v>34</v>
      </c>
    </row>
    <row r="26" spans="1:18" ht="16.5" customHeight="1">
      <c r="B26" t="s">
        <v>76</v>
      </c>
      <c r="C26">
        <v>18</v>
      </c>
      <c r="F26" s="23"/>
      <c r="J26">
        <v>3</v>
      </c>
      <c r="K26" t="s">
        <v>76</v>
      </c>
      <c r="L26">
        <v>33</v>
      </c>
    </row>
    <row r="27" spans="1:18" ht="16.5" customHeight="1">
      <c r="B27" t="s">
        <v>85</v>
      </c>
      <c r="C27">
        <v>18</v>
      </c>
      <c r="D27" s="8"/>
      <c r="J27">
        <v>4</v>
      </c>
      <c r="K27" t="s">
        <v>85</v>
      </c>
      <c r="L27">
        <v>30</v>
      </c>
    </row>
    <row r="28" spans="1:18" ht="16.5" customHeight="1">
      <c r="B28" s="11" t="s">
        <v>82</v>
      </c>
      <c r="C28">
        <v>18</v>
      </c>
      <c r="H28" s="8"/>
      <c r="J28">
        <v>5</v>
      </c>
      <c r="K28" t="s">
        <v>82</v>
      </c>
      <c r="L28">
        <v>28</v>
      </c>
    </row>
    <row r="29" spans="1:18" ht="16.5" customHeight="1">
      <c r="A29">
        <v>6</v>
      </c>
      <c r="B29" s="11" t="s">
        <v>83</v>
      </c>
      <c r="C29">
        <v>12</v>
      </c>
      <c r="J29">
        <v>6</v>
      </c>
      <c r="K29" t="s">
        <v>83</v>
      </c>
      <c r="L29">
        <v>24</v>
      </c>
    </row>
    <row r="30" spans="1:18" ht="16.5" customHeight="1">
      <c r="A30">
        <v>7</v>
      </c>
      <c r="B30" s="10" t="s">
        <v>78</v>
      </c>
      <c r="C30">
        <v>6</v>
      </c>
      <c r="H30" s="8"/>
      <c r="J30">
        <v>7</v>
      </c>
      <c r="K30" t="s">
        <v>84</v>
      </c>
      <c r="L30">
        <v>15</v>
      </c>
    </row>
    <row r="31" spans="1:18" ht="16.5" customHeight="1">
      <c r="B31" t="s">
        <v>84</v>
      </c>
      <c r="C31">
        <v>6</v>
      </c>
      <c r="H31" s="8"/>
      <c r="J31">
        <v>8</v>
      </c>
      <c r="K31" s="10" t="s">
        <v>78</v>
      </c>
      <c r="L31">
        <v>9</v>
      </c>
    </row>
    <row r="32" spans="1:18" ht="16.5" customHeight="1">
      <c r="B32" s="11"/>
      <c r="H32" s="8"/>
      <c r="K32" s="11"/>
    </row>
    <row r="33" spans="1:18" ht="16.5" customHeight="1">
      <c r="B33" s="11"/>
      <c r="H33" s="8"/>
      <c r="M33" s="8"/>
    </row>
    <row r="34" spans="1:18" ht="15" customHeight="1">
      <c r="A34" s="7" t="s">
        <v>31</v>
      </c>
      <c r="B34" s="7"/>
      <c r="C34" s="7"/>
      <c r="E34" s="7" t="s">
        <v>32</v>
      </c>
      <c r="F34" s="7"/>
      <c r="G34" s="7"/>
      <c r="J34" s="7" t="s">
        <v>33</v>
      </c>
      <c r="K34" s="7"/>
      <c r="L34" s="7"/>
      <c r="M34" s="15"/>
      <c r="O34" s="7" t="s">
        <v>34</v>
      </c>
      <c r="P34" s="7"/>
      <c r="Q34" s="7"/>
      <c r="R34" s="7"/>
    </row>
    <row r="35" spans="1:18" ht="15" customHeight="1">
      <c r="A35" s="23" t="s">
        <v>68</v>
      </c>
      <c r="B35" s="23" t="s">
        <v>68</v>
      </c>
      <c r="C35" s="23" t="s">
        <v>68</v>
      </c>
      <c r="E35">
        <v>1</v>
      </c>
      <c r="F35" t="s">
        <v>80</v>
      </c>
      <c r="G35">
        <v>4</v>
      </c>
      <c r="J35" s="23" t="s">
        <v>68</v>
      </c>
      <c r="K35" s="23" t="s">
        <v>68</v>
      </c>
      <c r="L35" s="23" t="s">
        <v>68</v>
      </c>
      <c r="O35">
        <v>1</v>
      </c>
      <c r="P35" s="10" t="s">
        <v>79</v>
      </c>
      <c r="Q35">
        <v>35</v>
      </c>
      <c r="R35" t="s">
        <v>87</v>
      </c>
    </row>
    <row r="36" spans="1:18" ht="16.5" customHeight="1">
      <c r="B36" s="10"/>
      <c r="E36">
        <v>2</v>
      </c>
      <c r="F36" t="s">
        <v>85</v>
      </c>
      <c r="G36">
        <v>1</v>
      </c>
      <c r="O36">
        <v>2</v>
      </c>
      <c r="P36" t="s">
        <v>80</v>
      </c>
      <c r="Q36">
        <v>34</v>
      </c>
      <c r="R36" t="s">
        <v>87</v>
      </c>
    </row>
    <row r="37" spans="1:18" ht="16.5" customHeight="1">
      <c r="F37" s="1"/>
      <c r="M37" s="8"/>
      <c r="O37">
        <v>3</v>
      </c>
      <c r="P37" t="s">
        <v>76</v>
      </c>
      <c r="Q37">
        <v>33</v>
      </c>
      <c r="R37" t="s">
        <v>87</v>
      </c>
    </row>
    <row r="38" spans="1:18" ht="16.5" customHeight="1">
      <c r="O38">
        <v>4</v>
      </c>
      <c r="P38" t="s">
        <v>85</v>
      </c>
      <c r="Q38">
        <v>30</v>
      </c>
      <c r="R38" t="s">
        <v>87</v>
      </c>
    </row>
    <row r="39" spans="1:18" ht="16.5" customHeight="1">
      <c r="O39">
        <v>5</v>
      </c>
      <c r="P39" t="s">
        <v>82</v>
      </c>
      <c r="Q39">
        <v>28</v>
      </c>
      <c r="R39" t="s">
        <v>87</v>
      </c>
    </row>
    <row r="40" spans="1:18" ht="16.5" customHeight="1">
      <c r="H40" s="8"/>
      <c r="O40">
        <v>6</v>
      </c>
      <c r="P40" t="s">
        <v>83</v>
      </c>
      <c r="Q40">
        <v>24</v>
      </c>
      <c r="R40" t="s">
        <v>87</v>
      </c>
    </row>
    <row r="41" spans="1:18" ht="16.5" customHeight="1">
      <c r="B41" s="1"/>
      <c r="O41">
        <v>7</v>
      </c>
      <c r="P41" t="s">
        <v>84</v>
      </c>
      <c r="Q41">
        <v>15</v>
      </c>
      <c r="R41" t="s">
        <v>87</v>
      </c>
    </row>
    <row r="42" spans="1:18" ht="16.5" customHeight="1">
      <c r="M42" s="1"/>
      <c r="O42">
        <v>8</v>
      </c>
      <c r="P42" s="10" t="s">
        <v>78</v>
      </c>
      <c r="Q42">
        <v>9</v>
      </c>
      <c r="R42" t="s">
        <v>87</v>
      </c>
    </row>
    <row r="43" spans="1:18" ht="15" customHeight="1">
      <c r="A43" s="7" t="s">
        <v>35</v>
      </c>
      <c r="B43" s="7"/>
      <c r="C43" s="7"/>
      <c r="E43" s="7" t="s">
        <v>36</v>
      </c>
      <c r="F43" s="7"/>
      <c r="G43" s="7"/>
      <c r="J43" s="7" t="s">
        <v>37</v>
      </c>
      <c r="K43" s="7"/>
      <c r="L43" s="7"/>
      <c r="R43" s="1"/>
    </row>
    <row r="44" spans="1:18" ht="16.5" customHeight="1">
      <c r="A44" s="23">
        <v>1</v>
      </c>
      <c r="B44" t="s">
        <v>85</v>
      </c>
      <c r="C44">
        <v>2</v>
      </c>
      <c r="E44" s="23" t="s">
        <v>68</v>
      </c>
      <c r="F44" s="23" t="s">
        <v>68</v>
      </c>
      <c r="G44" s="23" t="s">
        <v>68</v>
      </c>
      <c r="J44">
        <v>1</v>
      </c>
      <c r="K44" t="s">
        <v>83</v>
      </c>
      <c r="L44" s="16">
        <f>0/C29*6</f>
        <v>0</v>
      </c>
    </row>
    <row r="45" spans="1:18" ht="16.5" customHeight="1">
      <c r="J45">
        <v>2</v>
      </c>
      <c r="K45" s="10" t="s">
        <v>79</v>
      </c>
      <c r="L45" s="16">
        <f>1/C25*6</f>
        <v>0.33333333333333331</v>
      </c>
    </row>
    <row r="46" spans="1:18" ht="16.5" customHeight="1">
      <c r="K46" t="s">
        <v>76</v>
      </c>
      <c r="L46" s="16">
        <f>1/C26*6</f>
        <v>0.33333333333333331</v>
      </c>
    </row>
    <row r="47" spans="1:18" ht="16.5" customHeight="1">
      <c r="K47" t="s">
        <v>85</v>
      </c>
      <c r="L47" s="16">
        <f>1/C27*6</f>
        <v>0.33333333333333331</v>
      </c>
    </row>
    <row r="48" spans="1:18" ht="16.5" customHeight="1">
      <c r="J48">
        <v>5</v>
      </c>
      <c r="K48" t="s">
        <v>82</v>
      </c>
      <c r="L48" s="16">
        <f>3/C28*6</f>
        <v>1</v>
      </c>
    </row>
    <row r="49" spans="2:18" ht="16.5" customHeight="1">
      <c r="B49" s="11"/>
      <c r="F49" s="10"/>
      <c r="G49" s="10"/>
      <c r="J49">
        <v>6</v>
      </c>
      <c r="K49" t="s">
        <v>80</v>
      </c>
      <c r="L49" s="16">
        <f>6/C24*6</f>
        <v>1.5</v>
      </c>
      <c r="P49" s="11"/>
      <c r="Q49" s="16"/>
    </row>
    <row r="50" spans="2:18" ht="16.5" customHeight="1">
      <c r="J50">
        <v>7</v>
      </c>
      <c r="K50" t="s">
        <v>84</v>
      </c>
      <c r="L50" s="16">
        <f>2/C31*6</f>
        <v>2</v>
      </c>
    </row>
    <row r="51" spans="2:18" ht="16.5" customHeight="1">
      <c r="J51">
        <v>8</v>
      </c>
      <c r="K51" s="10" t="s">
        <v>78</v>
      </c>
      <c r="L51" s="16">
        <f>3/C30*6</f>
        <v>3</v>
      </c>
    </row>
    <row r="52" spans="2:18" ht="16.5" customHeight="1"/>
    <row r="53" spans="2:18" ht="16.5" customHeight="1">
      <c r="F53" s="10"/>
      <c r="G53" s="10"/>
    </row>
    <row r="54" spans="2:18" ht="16.5" customHeight="1"/>
    <row r="55" spans="2:18" ht="16.5" customHeight="1">
      <c r="R55" s="8"/>
    </row>
    <row r="56" spans="2:18" ht="16.5" customHeight="1">
      <c r="R56" s="8"/>
    </row>
    <row r="57" spans="2:18" ht="16.5" customHeight="1"/>
    <row r="58" spans="2:18" ht="16.5" customHeight="1"/>
    <row r="59" spans="2:18" ht="16.5" customHeight="1">
      <c r="R59" s="8"/>
    </row>
    <row r="60" spans="2:18" ht="16.5" customHeight="1">
      <c r="R60" s="8"/>
    </row>
    <row r="61" spans="2:18" ht="16.5" customHeight="1"/>
    <row r="62" spans="2:18" ht="16.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</sheetData>
  <mergeCells count="4">
    <mergeCell ref="A1:C1"/>
    <mergeCell ref="E1:H1"/>
    <mergeCell ref="J1:L1"/>
    <mergeCell ref="O1:Q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zoomScaleNormal="100" workbookViewId="0">
      <selection sqref="A1:C1"/>
    </sheetView>
  </sheetViews>
  <sheetFormatPr defaultColWidth="12.625" defaultRowHeight="15.75"/>
  <cols>
    <col min="1" max="1" width="4.75" customWidth="1"/>
    <col min="2" max="2" width="19" bestFit="1" customWidth="1"/>
    <col min="3" max="3" width="10.75" customWidth="1"/>
    <col min="4" max="4" width="4" customWidth="1"/>
    <col min="5" max="5" width="10.75" customWidth="1"/>
    <col min="6" max="6" width="4.75" customWidth="1"/>
    <col min="7" max="7" width="19.5" bestFit="1" customWidth="1"/>
    <col min="8" max="8" width="4.75" customWidth="1"/>
    <col min="9" max="9" width="20.375" customWidth="1"/>
    <col min="10" max="10" width="3.25" customWidth="1"/>
    <col min="11" max="11" width="10.75" customWidth="1"/>
    <col min="12" max="12" width="3.75" customWidth="1"/>
    <col min="13" max="13" width="20.125" customWidth="1"/>
    <col min="14" max="14" width="10.75" customWidth="1"/>
    <col min="15" max="15" width="4.25" customWidth="1"/>
    <col min="16" max="16" width="6.75" customWidth="1"/>
    <col min="17" max="17" width="3.75" customWidth="1"/>
    <col min="18" max="18" width="19.375" bestFit="1" customWidth="1"/>
    <col min="19" max="19" width="3.25" customWidth="1"/>
    <col min="20" max="20" width="20.625" customWidth="1"/>
    <col min="21" max="21" width="4.25" customWidth="1"/>
  </cols>
  <sheetData>
    <row r="1" spans="1:20" ht="15" customHeight="1">
      <c r="A1" s="34" t="s">
        <v>38</v>
      </c>
      <c r="B1" s="34"/>
      <c r="C1" s="34"/>
      <c r="F1" s="34" t="s">
        <v>39</v>
      </c>
      <c r="G1" s="34"/>
      <c r="H1" s="34"/>
      <c r="I1" s="34"/>
      <c r="L1" s="34" t="s">
        <v>40</v>
      </c>
      <c r="M1" s="34"/>
      <c r="N1" s="34"/>
      <c r="Q1" s="34" t="s">
        <v>41</v>
      </c>
      <c r="R1" s="34"/>
      <c r="S1" s="34"/>
      <c r="T1" s="34"/>
    </row>
    <row r="2" spans="1:20" ht="15" customHeight="1">
      <c r="A2">
        <v>1</v>
      </c>
      <c r="B2" t="s">
        <v>76</v>
      </c>
      <c r="C2">
        <v>2</v>
      </c>
      <c r="F2">
        <v>1</v>
      </c>
      <c r="G2" t="s">
        <v>76</v>
      </c>
      <c r="H2">
        <v>2</v>
      </c>
      <c r="I2" t="s">
        <v>87</v>
      </c>
      <c r="J2" s="3"/>
      <c r="L2" s="23" t="s">
        <v>68</v>
      </c>
      <c r="M2" s="10" t="s">
        <v>68</v>
      </c>
      <c r="N2" t="s">
        <v>68</v>
      </c>
      <c r="O2" s="8"/>
      <c r="Q2" s="23" t="s">
        <v>68</v>
      </c>
      <c r="R2" s="10" t="s">
        <v>68</v>
      </c>
      <c r="S2" t="s">
        <v>68</v>
      </c>
      <c r="T2" t="s">
        <v>68</v>
      </c>
    </row>
    <row r="3" spans="1:20" ht="15" customHeight="1">
      <c r="A3">
        <v>2</v>
      </c>
      <c r="B3" t="s">
        <v>79</v>
      </c>
      <c r="C3">
        <v>1</v>
      </c>
      <c r="F3">
        <v>2</v>
      </c>
      <c r="G3" t="s">
        <v>79</v>
      </c>
      <c r="H3">
        <v>1</v>
      </c>
      <c r="I3" t="s">
        <v>87</v>
      </c>
      <c r="O3" s="8"/>
      <c r="T3" s="1"/>
    </row>
    <row r="4" spans="1:20" ht="15" customHeight="1">
      <c r="J4" s="3"/>
      <c r="O4" s="8"/>
      <c r="T4" s="1"/>
    </row>
    <row r="5" spans="1:20" ht="15" customHeight="1">
      <c r="J5" s="3"/>
      <c r="O5" s="8"/>
      <c r="T5" s="1"/>
    </row>
    <row r="6" spans="1:20" ht="16.5" customHeight="1">
      <c r="G6" s="23"/>
      <c r="I6" s="23"/>
      <c r="O6" s="8"/>
      <c r="T6" s="1"/>
    </row>
    <row r="7" spans="1:20" ht="16.5" customHeight="1">
      <c r="G7" s="23"/>
      <c r="I7" s="23"/>
      <c r="J7" s="3"/>
      <c r="O7" s="8"/>
      <c r="T7" s="1"/>
    </row>
    <row r="8" spans="1:20" ht="16.5" customHeight="1">
      <c r="B8" s="1"/>
      <c r="P8" s="1"/>
      <c r="T8" s="1"/>
    </row>
    <row r="9" spans="1:20" ht="16.5" customHeight="1">
      <c r="D9" s="8"/>
      <c r="J9" s="1"/>
    </row>
    <row r="10" spans="1:20" ht="16.5" customHeight="1">
      <c r="G10" s="12"/>
      <c r="I10" s="1"/>
      <c r="J10" s="1"/>
    </row>
    <row r="11" spans="1:20" ht="16.5" customHeight="1">
      <c r="I11" s="1"/>
    </row>
    <row r="12" spans="1:20" ht="15" customHeight="1">
      <c r="D12" s="8"/>
      <c r="I12" s="1"/>
    </row>
    <row r="13" spans="1:20" ht="15" customHeight="1">
      <c r="D13" s="8"/>
      <c r="G13" s="1"/>
      <c r="I13" s="1"/>
      <c r="M13" s="1"/>
    </row>
    <row r="14" spans="1:20" ht="15" customHeight="1">
      <c r="D14" s="8"/>
      <c r="I14" s="1"/>
    </row>
    <row r="15" spans="1:20" ht="15" customHeight="1">
      <c r="D15" s="8"/>
    </row>
    <row r="16" spans="1:20" ht="15" customHeight="1">
      <c r="D16" s="8"/>
    </row>
    <row r="17" spans="2:21" ht="15" customHeight="1">
      <c r="D17" s="8"/>
    </row>
    <row r="18" spans="2:21" ht="15" customHeight="1">
      <c r="B18" s="12"/>
      <c r="D18" s="8"/>
    </row>
    <row r="19" spans="2:21" ht="15" customHeight="1">
      <c r="B19" s="23"/>
      <c r="D19" s="8"/>
    </row>
    <row r="20" spans="2:21" ht="15" customHeight="1">
      <c r="D20" s="8"/>
    </row>
    <row r="21" spans="2:21" ht="15" customHeight="1">
      <c r="R21" s="23"/>
      <c r="T21" s="23"/>
      <c r="U21" s="3"/>
    </row>
    <row r="22" spans="2:21" ht="15" customHeight="1"/>
    <row r="23" spans="2:21" ht="15" customHeight="1"/>
    <row r="24" spans="2:21" ht="15" customHeight="1">
      <c r="G24" s="1"/>
    </row>
    <row r="25" spans="2:21" ht="15" customHeight="1"/>
    <row r="26" spans="2:21" ht="15" customHeight="1">
      <c r="J26" s="3"/>
    </row>
    <row r="27" spans="2:21" ht="15" customHeight="1">
      <c r="J27" s="3"/>
    </row>
    <row r="28" spans="2:21" ht="15" customHeight="1">
      <c r="J28" s="3"/>
    </row>
    <row r="29" spans="2:21" ht="15" customHeight="1">
      <c r="J29" s="3"/>
    </row>
    <row r="30" spans="2:21" ht="15" customHeight="1">
      <c r="J30" s="3"/>
    </row>
    <row r="31" spans="2:21" ht="15" customHeight="1"/>
    <row r="32" spans="2:21" ht="15" customHeight="1"/>
    <row r="33" spans="7:10" ht="15" customHeight="1">
      <c r="G33" s="23"/>
      <c r="I33" s="23"/>
    </row>
    <row r="34" spans="7:10" ht="15" customHeight="1">
      <c r="G34" s="23"/>
      <c r="I34" s="23"/>
    </row>
    <row r="35" spans="7:10" ht="15" customHeight="1">
      <c r="G35" s="23"/>
      <c r="I35" s="23"/>
    </row>
    <row r="36" spans="7:10" ht="15" customHeight="1">
      <c r="G36" s="23"/>
      <c r="I36" s="23"/>
    </row>
    <row r="37" spans="7:10" ht="15" customHeight="1">
      <c r="G37" s="23"/>
      <c r="I37" s="23"/>
    </row>
    <row r="38" spans="7:10" ht="15" customHeight="1">
      <c r="G38" s="23"/>
      <c r="I38" s="23"/>
    </row>
    <row r="39" spans="7:10" ht="15" customHeight="1">
      <c r="G39" s="23"/>
      <c r="I39" s="23"/>
    </row>
    <row r="40" spans="7:10" ht="15" customHeight="1"/>
    <row r="41" spans="7:10" ht="15" customHeight="1"/>
    <row r="42" spans="7:10" ht="15" customHeight="1">
      <c r="J42" s="3"/>
    </row>
    <row r="43" spans="7:10" ht="15" customHeight="1">
      <c r="J43" s="3"/>
    </row>
    <row r="44" spans="7:10" ht="15" customHeight="1">
      <c r="J44" s="3"/>
    </row>
    <row r="45" spans="7:10" ht="15" customHeight="1">
      <c r="J45" s="3"/>
    </row>
    <row r="46" spans="7:10" ht="15" customHeight="1">
      <c r="J46" s="3"/>
    </row>
    <row r="47" spans="7:10" ht="15" customHeight="1">
      <c r="J47" s="3"/>
    </row>
    <row r="48" spans="7:10" ht="15" customHeight="1"/>
  </sheetData>
  <mergeCells count="4">
    <mergeCell ref="A1:C1"/>
    <mergeCell ref="F1:I1"/>
    <mergeCell ref="L1:N1"/>
    <mergeCell ref="Q1:T1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3"/>
  <sheetViews>
    <sheetView zoomScaleNormal="100" workbookViewId="0">
      <selection sqref="A1:D1"/>
    </sheetView>
  </sheetViews>
  <sheetFormatPr defaultColWidth="12.625" defaultRowHeight="15.75"/>
  <cols>
    <col min="1" max="1" width="5.25" customWidth="1"/>
    <col min="2" max="2" width="17.25" customWidth="1"/>
    <col min="3" max="3" width="9.125" customWidth="1"/>
    <col min="4" max="4" width="20.625" customWidth="1"/>
    <col min="5" max="5" width="3.75" customWidth="1"/>
    <col min="6" max="6" width="10.75" customWidth="1"/>
    <col min="7" max="7" width="6.5" customWidth="1"/>
    <col min="8" max="8" width="17.5" customWidth="1"/>
    <col min="9" max="9" width="10.75" customWidth="1"/>
    <col min="10" max="10" width="4" customWidth="1"/>
    <col min="11" max="11" width="10.75" customWidth="1"/>
    <col min="12" max="12" width="6.75" customWidth="1"/>
    <col min="13" max="13" width="16.875" customWidth="1"/>
    <col min="14" max="14" width="10.25" customWidth="1"/>
    <col min="15" max="15" width="4.25" customWidth="1"/>
    <col min="16" max="16" width="7.25" customWidth="1"/>
    <col min="17" max="17" width="4" customWidth="1"/>
    <col min="18" max="18" width="18" customWidth="1"/>
    <col min="19" max="19" width="7.75" customWidth="1"/>
    <col min="20" max="20" width="3.75" customWidth="1"/>
  </cols>
  <sheetData>
    <row r="1" spans="1:19" ht="15" customHeight="1">
      <c r="A1" s="34" t="s">
        <v>42</v>
      </c>
      <c r="B1" s="34"/>
      <c r="C1" s="34"/>
      <c r="D1" s="34"/>
      <c r="G1" s="34" t="s">
        <v>43</v>
      </c>
      <c r="H1" s="34"/>
      <c r="I1" s="34"/>
      <c r="L1" s="34" t="s">
        <v>44</v>
      </c>
      <c r="M1" s="34"/>
      <c r="N1" s="34"/>
    </row>
    <row r="2" spans="1:19" ht="16.5" customHeight="1">
      <c r="A2">
        <v>1</v>
      </c>
      <c r="B2" s="23" t="s">
        <v>81</v>
      </c>
      <c r="C2">
        <v>0</v>
      </c>
      <c r="D2" t="s">
        <v>87</v>
      </c>
      <c r="G2">
        <v>1</v>
      </c>
      <c r="H2" s="23" t="s">
        <v>81</v>
      </c>
      <c r="I2">
        <v>0</v>
      </c>
      <c r="L2">
        <v>1</v>
      </c>
      <c r="M2" s="23" t="s">
        <v>81</v>
      </c>
      <c r="N2" s="5">
        <f>I2/S12</f>
        <v>0</v>
      </c>
    </row>
    <row r="3" spans="1:19" ht="16.5" customHeight="1">
      <c r="H3" s="10"/>
      <c r="M3" s="23"/>
      <c r="N3" s="5"/>
    </row>
    <row r="4" spans="1:19" ht="16.5" customHeight="1">
      <c r="H4" s="23"/>
      <c r="M4" s="10"/>
      <c r="N4" s="5"/>
    </row>
    <row r="5" spans="1:19" ht="15" customHeight="1">
      <c r="A5" s="7" t="s">
        <v>45</v>
      </c>
      <c r="B5" s="7"/>
      <c r="C5" s="7"/>
      <c r="D5" s="7"/>
      <c r="G5" s="7" t="s">
        <v>46</v>
      </c>
      <c r="H5" s="7"/>
      <c r="I5" s="7"/>
      <c r="L5" s="7" t="s">
        <v>47</v>
      </c>
      <c r="M5" s="7"/>
      <c r="N5" s="7"/>
    </row>
    <row r="6" spans="1:19" ht="15" customHeight="1">
      <c r="A6">
        <v>1</v>
      </c>
      <c r="B6" s="23" t="s">
        <v>81</v>
      </c>
      <c r="C6">
        <v>2</v>
      </c>
      <c r="D6" t="s">
        <v>87</v>
      </c>
      <c r="G6">
        <v>1</v>
      </c>
      <c r="H6" s="23" t="s">
        <v>81</v>
      </c>
      <c r="I6">
        <v>2</v>
      </c>
      <c r="L6">
        <v>1</v>
      </c>
      <c r="M6" s="23" t="s">
        <v>81</v>
      </c>
      <c r="N6" s="5">
        <f>I6/S12</f>
        <v>2</v>
      </c>
    </row>
    <row r="7" spans="1:19" ht="16.5" customHeight="1">
      <c r="B7" s="10"/>
      <c r="C7" s="10"/>
      <c r="D7" s="1"/>
      <c r="N7" s="5"/>
    </row>
    <row r="11" spans="1:19" ht="15" customHeight="1">
      <c r="A11" s="7" t="s">
        <v>48</v>
      </c>
      <c r="B11" s="7"/>
      <c r="C11" s="7"/>
      <c r="D11" s="7"/>
      <c r="G11" s="7" t="s">
        <v>49</v>
      </c>
      <c r="H11" s="7"/>
      <c r="I11" s="7"/>
      <c r="L11" s="7" t="s">
        <v>50</v>
      </c>
      <c r="M11" s="7"/>
      <c r="N11" s="7"/>
      <c r="Q11" s="7" t="s">
        <v>51</v>
      </c>
      <c r="R11" s="7"/>
      <c r="S11" s="7"/>
    </row>
    <row r="12" spans="1:19" ht="15" customHeight="1">
      <c r="A12">
        <v>1</v>
      </c>
      <c r="B12" s="23" t="s">
        <v>81</v>
      </c>
      <c r="C12">
        <v>2</v>
      </c>
      <c r="D12" t="s">
        <v>87</v>
      </c>
      <c r="G12">
        <v>1</v>
      </c>
      <c r="H12" s="23" t="s">
        <v>81</v>
      </c>
      <c r="I12">
        <v>2</v>
      </c>
      <c r="L12">
        <v>1</v>
      </c>
      <c r="M12" s="23" t="s">
        <v>81</v>
      </c>
      <c r="N12" s="5">
        <f>I12/S12</f>
        <v>2</v>
      </c>
      <c r="Q12">
        <v>1</v>
      </c>
      <c r="R12" s="23" t="s">
        <v>81</v>
      </c>
      <c r="S12">
        <v>1</v>
      </c>
    </row>
    <row r="13" spans="1:19" ht="16.5" customHeight="1">
      <c r="N13" s="5"/>
      <c r="R13" s="10"/>
    </row>
    <row r="14" spans="1:19" ht="16.5" customHeight="1">
      <c r="N14" s="5"/>
      <c r="R14" s="10"/>
    </row>
    <row r="15" spans="1:19" ht="16.5" customHeight="1">
      <c r="N15" s="5"/>
      <c r="R15" s="10"/>
    </row>
    <row r="16" spans="1:19" ht="16.5" customHeight="1">
      <c r="D16" s="1"/>
      <c r="N16" s="5"/>
      <c r="O16" s="8"/>
    </row>
    <row r="17" spans="1:15" ht="15" customHeight="1">
      <c r="A17" s="7" t="s">
        <v>52</v>
      </c>
      <c r="B17" s="7"/>
      <c r="C17" s="7"/>
      <c r="D17" s="7"/>
      <c r="G17" s="7" t="s">
        <v>53</v>
      </c>
      <c r="H17" s="7"/>
      <c r="I17" s="7"/>
      <c r="L17" s="7" t="s">
        <v>54</v>
      </c>
      <c r="M17" s="7"/>
      <c r="N17" s="7"/>
    </row>
    <row r="18" spans="1:15" ht="15" customHeight="1">
      <c r="A18">
        <v>1</v>
      </c>
      <c r="B18" s="23" t="s">
        <v>81</v>
      </c>
      <c r="C18" s="4" t="s">
        <v>108</v>
      </c>
      <c r="D18" t="s">
        <v>87</v>
      </c>
      <c r="G18">
        <v>1</v>
      </c>
      <c r="H18" s="23" t="s">
        <v>81</v>
      </c>
      <c r="I18">
        <v>4</v>
      </c>
      <c r="L18">
        <v>1</v>
      </c>
      <c r="M18" s="23" t="s">
        <v>81</v>
      </c>
      <c r="N18" s="5">
        <f>I18/S12</f>
        <v>4</v>
      </c>
    </row>
    <row r="19" spans="1:15" ht="15" customHeight="1">
      <c r="D19" s="1"/>
      <c r="N19" s="5"/>
      <c r="O19" s="8"/>
    </row>
    <row r="20" spans="1:15" ht="16.5" customHeight="1">
      <c r="C20" s="4"/>
      <c r="N20" s="5"/>
      <c r="O20" s="8"/>
    </row>
    <row r="21" spans="1:15" ht="15" customHeight="1">
      <c r="C21" s="4"/>
      <c r="N21" s="5"/>
    </row>
    <row r="22" spans="1:15" ht="15" customHeight="1">
      <c r="C22" s="4"/>
      <c r="D22" s="1"/>
    </row>
    <row r="23" spans="1:15" ht="16.5" customHeight="1">
      <c r="C23" s="4"/>
      <c r="D23" s="1"/>
    </row>
    <row r="24" spans="1:15" ht="15" customHeight="1">
      <c r="C24" s="4"/>
    </row>
    <row r="25" spans="1:15" ht="15" customHeight="1">
      <c r="C25" s="4"/>
    </row>
    <row r="26" spans="1:15" ht="15" customHeight="1">
      <c r="C26" s="4"/>
    </row>
    <row r="27" spans="1:15" ht="15" customHeight="1">
      <c r="C27" s="4"/>
    </row>
    <row r="28" spans="1:15" ht="15" customHeight="1">
      <c r="C28" s="4"/>
    </row>
    <row r="29" spans="1:15" ht="15" customHeight="1">
      <c r="C29" s="4"/>
    </row>
    <row r="30" spans="1:15" ht="15" customHeight="1">
      <c r="C30" s="4"/>
    </row>
    <row r="31" spans="1:15" ht="15" customHeight="1"/>
    <row r="32" spans="1:15" ht="15" customHeight="1"/>
    <row r="33" spans="4:5" ht="15" customHeight="1"/>
    <row r="34" spans="4:5" ht="15" customHeight="1"/>
    <row r="35" spans="4:5" ht="15" customHeight="1"/>
    <row r="36" spans="4:5" ht="15" customHeight="1"/>
    <row r="37" spans="4:5" ht="15" customHeight="1"/>
    <row r="38" spans="4:5" ht="15" customHeight="1"/>
    <row r="39" spans="4:5" ht="15" customHeight="1"/>
    <row r="40" spans="4:5" ht="15" customHeight="1"/>
    <row r="41" spans="4:5" ht="15" customHeight="1"/>
    <row r="42" spans="4:5" ht="15" customHeight="1">
      <c r="D42" s="1"/>
      <c r="E42" s="1"/>
    </row>
    <row r="43" spans="4:5" ht="15" customHeight="1">
      <c r="D43" s="1"/>
      <c r="E43" s="1"/>
    </row>
  </sheetData>
  <mergeCells count="3">
    <mergeCell ref="A1:D1"/>
    <mergeCell ref="G1:I1"/>
    <mergeCell ref="L1:N1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zoomScaleNormal="100" workbookViewId="0">
      <selection sqref="A1:C1"/>
    </sheetView>
  </sheetViews>
  <sheetFormatPr defaultColWidth="12.625" defaultRowHeight="15.75"/>
  <cols>
    <col min="1" max="1" width="5.5" customWidth="1"/>
    <col min="2" max="2" width="19" customWidth="1"/>
    <col min="3" max="3" width="3" customWidth="1"/>
    <col min="4" max="4" width="3.75" customWidth="1"/>
    <col min="5" max="5" width="10.75" customWidth="1"/>
    <col min="6" max="6" width="2" customWidth="1"/>
    <col min="7" max="7" width="18" customWidth="1"/>
    <col min="8" max="8" width="3" customWidth="1"/>
    <col min="9" max="9" width="4.875" customWidth="1"/>
    <col min="10" max="10" width="10.75" customWidth="1"/>
    <col min="11" max="11" width="8" customWidth="1"/>
  </cols>
  <sheetData>
    <row r="1" spans="1:8" ht="15" customHeight="1">
      <c r="A1" s="34" t="s">
        <v>55</v>
      </c>
      <c r="B1" s="34"/>
      <c r="C1" s="34"/>
      <c r="F1" s="34" t="s">
        <v>56</v>
      </c>
      <c r="G1" s="34"/>
      <c r="H1" s="34"/>
    </row>
    <row r="2" spans="1:8" ht="16.5" customHeight="1">
      <c r="A2">
        <v>1</v>
      </c>
      <c r="B2" t="s">
        <v>79</v>
      </c>
      <c r="C2">
        <v>1</v>
      </c>
      <c r="F2">
        <v>1</v>
      </c>
      <c r="G2" t="s">
        <v>79</v>
      </c>
      <c r="H2">
        <v>1</v>
      </c>
    </row>
    <row r="3" spans="1:8" ht="16.5" customHeight="1">
      <c r="B3" t="s">
        <v>83</v>
      </c>
      <c r="C3">
        <v>1</v>
      </c>
    </row>
    <row r="4" spans="1:8" ht="16.5" customHeight="1">
      <c r="B4" s="23" t="s">
        <v>76</v>
      </c>
      <c r="C4">
        <v>1</v>
      </c>
      <c r="D4" s="8"/>
      <c r="G4" s="1"/>
    </row>
    <row r="5" spans="1:8" ht="16.5" customHeight="1">
      <c r="B5" t="s">
        <v>78</v>
      </c>
      <c r="C5">
        <v>1</v>
      </c>
      <c r="D5" s="8"/>
    </row>
    <row r="6" spans="1:8" ht="16.5" customHeight="1">
      <c r="B6" t="s">
        <v>81</v>
      </c>
      <c r="C6">
        <v>1</v>
      </c>
      <c r="D6" s="8"/>
    </row>
    <row r="7" spans="1:8" ht="16.5" customHeight="1">
      <c r="B7" t="s">
        <v>85</v>
      </c>
      <c r="C7">
        <v>1</v>
      </c>
    </row>
    <row r="8" spans="1:8" ht="16.5" customHeight="1">
      <c r="B8" t="s">
        <v>4</v>
      </c>
      <c r="C8">
        <v>1</v>
      </c>
    </row>
    <row r="9" spans="1:8" ht="16.5" customHeight="1">
      <c r="B9" t="s">
        <v>86</v>
      </c>
      <c r="C9">
        <v>1</v>
      </c>
    </row>
    <row r="10" spans="1:8" ht="16.5" customHeight="1">
      <c r="B10" t="s">
        <v>80</v>
      </c>
      <c r="C10">
        <v>1</v>
      </c>
    </row>
    <row r="11" spans="1:8" ht="16.5" customHeight="1">
      <c r="B11" t="s">
        <v>84</v>
      </c>
      <c r="C11">
        <v>1</v>
      </c>
    </row>
    <row r="12" spans="1:8" ht="16.5" customHeight="1">
      <c r="B12" t="s">
        <v>109</v>
      </c>
      <c r="C12">
        <v>1</v>
      </c>
    </row>
    <row r="13" spans="1:8" ht="16.5" customHeight="1"/>
    <row r="14" spans="1:8" ht="16.5" customHeight="1">
      <c r="B14" s="1"/>
    </row>
    <row r="15" spans="1:8" ht="16.5" customHeight="1"/>
    <row r="16" spans="1:8" ht="16.5" customHeight="1"/>
    <row r="17" spans="2:4" ht="16.5" customHeight="1"/>
    <row r="18" spans="2:4" ht="16.5" customHeight="1"/>
    <row r="19" spans="2:4" ht="16.5" customHeight="1"/>
    <row r="20" spans="2:4" ht="16.5" customHeight="1"/>
    <row r="21" spans="2:4" ht="16.5" customHeight="1"/>
    <row r="22" spans="2:4" ht="16.5" customHeight="1"/>
    <row r="23" spans="2:4" ht="16.5" customHeight="1"/>
    <row r="24" spans="2:4" ht="16.5" customHeight="1"/>
    <row r="25" spans="2:4" ht="16.5" customHeight="1"/>
    <row r="26" spans="2:4" ht="16.5" customHeight="1">
      <c r="D26" s="8"/>
    </row>
    <row r="27" spans="2:4" ht="16.5" customHeight="1"/>
    <row r="28" spans="2:4" ht="16.5" customHeight="1">
      <c r="D28" s="8"/>
    </row>
    <row r="29" spans="2:4" ht="16.5" customHeight="1">
      <c r="D29" s="8"/>
    </row>
    <row r="30" spans="2:4" ht="16.5" customHeight="1">
      <c r="D30" s="8"/>
    </row>
    <row r="31" spans="2:4" ht="16.5" customHeight="1">
      <c r="B31" s="23"/>
      <c r="D31" s="8"/>
    </row>
    <row r="32" spans="2:4" ht="15" customHeight="1"/>
  </sheetData>
  <mergeCells count="2">
    <mergeCell ref="A1:C1"/>
    <mergeCell ref="F1:H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zoomScaleNormal="100" workbookViewId="0"/>
  </sheetViews>
  <sheetFormatPr defaultColWidth="12.625" defaultRowHeight="15.75"/>
  <cols>
    <col min="1" max="1" width="12.75" customWidth="1"/>
    <col min="2" max="2" width="5.5" customWidth="1"/>
    <col min="3" max="3" width="18" customWidth="1"/>
    <col min="4" max="4" width="11.5" customWidth="1"/>
    <col min="5" max="5" width="5.5" customWidth="1"/>
    <col min="6" max="6" width="3" customWidth="1"/>
    <col min="7" max="7" width="35.625" customWidth="1"/>
    <col min="8" max="8" width="2.75" customWidth="1"/>
    <col min="9" max="9" width="32.5" customWidth="1"/>
    <col min="10" max="10" width="11.5" customWidth="1"/>
    <col min="11" max="11" width="30.5" customWidth="1"/>
    <col min="12" max="12" width="31" customWidth="1"/>
    <col min="13" max="13" width="5.375" customWidth="1"/>
  </cols>
  <sheetData>
    <row r="1" spans="1:13" ht="15" customHeight="1">
      <c r="B1">
        <v>1</v>
      </c>
      <c r="C1" s="7" t="s">
        <v>57</v>
      </c>
      <c r="D1" s="17">
        <v>1</v>
      </c>
      <c r="F1">
        <v>1</v>
      </c>
      <c r="G1" s="40" t="s">
        <v>110</v>
      </c>
      <c r="H1" s="40"/>
      <c r="I1" s="40"/>
      <c r="J1" t="s">
        <v>58</v>
      </c>
      <c r="K1" s="23" t="s">
        <v>111</v>
      </c>
      <c r="L1" s="23" t="s">
        <v>112</v>
      </c>
    </row>
    <row r="2" spans="1:13" ht="15" customHeight="1">
      <c r="B2">
        <v>0</v>
      </c>
      <c r="C2" s="19" t="s">
        <v>59</v>
      </c>
      <c r="D2" s="20">
        <f>B2/$B$1*100%</f>
        <v>0</v>
      </c>
      <c r="G2" s="37"/>
      <c r="H2" s="37"/>
      <c r="I2" s="37"/>
      <c r="M2" s="1"/>
    </row>
    <row r="3" spans="1:13" ht="15" customHeight="1">
      <c r="B3">
        <v>0</v>
      </c>
      <c r="C3" s="7" t="s">
        <v>60</v>
      </c>
      <c r="D3" s="17">
        <f>B3/$B$1*100%</f>
        <v>0</v>
      </c>
      <c r="G3" s="37"/>
      <c r="H3" s="37"/>
      <c r="I3" s="37"/>
    </row>
    <row r="4" spans="1:13" ht="15" customHeight="1">
      <c r="B4">
        <v>1</v>
      </c>
      <c r="C4" s="18" t="s">
        <v>61</v>
      </c>
      <c r="D4" s="20">
        <f>B4/$B$1*100%</f>
        <v>1</v>
      </c>
      <c r="G4" s="37"/>
      <c r="H4" s="37"/>
      <c r="I4" s="37"/>
    </row>
    <row r="5" spans="1:13" ht="15" customHeight="1">
      <c r="G5" s="37"/>
      <c r="H5" s="37"/>
      <c r="I5" s="37"/>
    </row>
    <row r="6" spans="1:13" ht="15" customHeight="1">
      <c r="G6" s="36"/>
      <c r="H6" s="37"/>
      <c r="I6" s="37"/>
    </row>
    <row r="7" spans="1:13" ht="15" customHeight="1">
      <c r="A7" s="35" t="s">
        <v>62</v>
      </c>
      <c r="B7" s="35"/>
      <c r="C7" s="7" t="s">
        <v>63</v>
      </c>
      <c r="D7" s="7" t="s">
        <v>64</v>
      </c>
      <c r="G7" s="19" t="s">
        <v>65</v>
      </c>
      <c r="I7" s="19" t="s">
        <v>66</v>
      </c>
    </row>
    <row r="8" spans="1:13" ht="16.5" customHeight="1">
      <c r="A8">
        <v>20</v>
      </c>
      <c r="B8" s="19" t="s">
        <v>67</v>
      </c>
      <c r="C8">
        <v>1</v>
      </c>
      <c r="D8">
        <f>A8*C8</f>
        <v>20</v>
      </c>
      <c r="G8" s="23" t="s">
        <v>68</v>
      </c>
      <c r="I8" t="s">
        <v>68</v>
      </c>
    </row>
    <row r="9" spans="1:13" ht="16.5" customHeight="1">
      <c r="C9" s="19" t="s">
        <v>71</v>
      </c>
      <c r="D9" s="22">
        <f>SUM(D8:D8)</f>
        <v>20</v>
      </c>
      <c r="E9" s="22" t="s">
        <v>67</v>
      </c>
    </row>
    <row r="10" spans="1:13" ht="16.5" customHeight="1"/>
    <row r="11" spans="1:13" ht="16.5" customHeight="1"/>
    <row r="12" spans="1:13" ht="15" customHeight="1">
      <c r="G12" s="18" t="s">
        <v>69</v>
      </c>
      <c r="I12" s="18" t="s">
        <v>70</v>
      </c>
    </row>
    <row r="13" spans="1:13" ht="15" customHeight="1">
      <c r="G13" t="s">
        <v>113</v>
      </c>
      <c r="I13" s="23" t="s">
        <v>68</v>
      </c>
    </row>
    <row r="14" spans="1:13" ht="15" customHeight="1">
      <c r="I14" s="21"/>
    </row>
    <row r="15" spans="1:13" ht="15" customHeight="1">
      <c r="G15" s="21"/>
    </row>
    <row r="16" spans="1:13" ht="15" customHeight="1">
      <c r="G16" s="23"/>
    </row>
    <row r="17" spans="7:9" ht="15" customHeight="1">
      <c r="G17" s="19" t="s">
        <v>72</v>
      </c>
      <c r="I17" s="19" t="s">
        <v>73</v>
      </c>
    </row>
    <row r="18" spans="7:9" ht="15" customHeight="1">
      <c r="G18" s="23" t="s">
        <v>68</v>
      </c>
      <c r="I18" t="s">
        <v>68</v>
      </c>
    </row>
    <row r="19" spans="7:9" ht="15" customHeight="1">
      <c r="G19" s="21"/>
    </row>
    <row r="20" spans="7:9" ht="15" customHeight="1"/>
    <row r="21" spans="7:9" ht="16.5" customHeight="1"/>
    <row r="22" spans="7:9" ht="16.5" customHeight="1">
      <c r="G22" s="18" t="s">
        <v>74</v>
      </c>
      <c r="I22" s="18" t="s">
        <v>75</v>
      </c>
    </row>
    <row r="23" spans="7:9" ht="16.5" customHeight="1">
      <c r="G23" t="s">
        <v>113</v>
      </c>
      <c r="I23" s="23" t="s">
        <v>68</v>
      </c>
    </row>
    <row r="24" spans="7:9" ht="16.5" customHeight="1">
      <c r="G24" s="23"/>
      <c r="I24" s="21"/>
    </row>
    <row r="25" spans="7:9" ht="15" customHeight="1">
      <c r="I25" s="23"/>
    </row>
    <row r="26" spans="7:9" ht="15" customHeight="1"/>
    <row r="27" spans="7:9" ht="15" customHeight="1"/>
    <row r="28" spans="7:9" ht="15" customHeight="1">
      <c r="G28" s="21"/>
    </row>
    <row r="30" spans="7:9">
      <c r="G30" s="23"/>
    </row>
    <row r="34" ht="15" customHeight="1"/>
  </sheetData>
  <mergeCells count="7">
    <mergeCell ref="G1:I1"/>
    <mergeCell ref="A7:B7"/>
    <mergeCell ref="G6:I6"/>
    <mergeCell ref="G2:I2"/>
    <mergeCell ref="G3:I3"/>
    <mergeCell ref="G4:I4"/>
    <mergeCell ref="G5:I5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1252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Batting</vt:lpstr>
      <vt:lpstr>Bowling</vt:lpstr>
      <vt:lpstr>Fielding</vt:lpstr>
      <vt:lpstr>Wicketkeeping</vt:lpstr>
      <vt:lpstr>Individual</vt:lpstr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Błażejczyk</dc:creator>
  <dc:description/>
  <cp:lastModifiedBy>Jakub Błażejczyk</cp:lastModifiedBy>
  <cp:revision>13</cp:revision>
  <cp:lastPrinted>1601-01-01T00:00:00Z</cp:lastPrinted>
  <dcterms:created xsi:type="dcterms:W3CDTF">1601-01-01T00:00:00Z</dcterms:created>
  <dcterms:modified xsi:type="dcterms:W3CDTF">2025-04-07T14:28:58Z</dcterms:modified>
  <dc:language>pl-PL</dc:language>
</cp:coreProperties>
</file>